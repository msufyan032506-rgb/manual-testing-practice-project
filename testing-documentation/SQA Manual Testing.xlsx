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rt Here" sheetId="1" r:id="rId4"/>
    <sheet state="visible" name="Summary" sheetId="2" r:id="rId5"/>
    <sheet state="visible" name="Test Plan" sheetId="3" r:id="rId6"/>
    <sheet state="visible" name="Test Scenarios" sheetId="4" r:id="rId7"/>
    <sheet state="visible" name="Test Cases" sheetId="5" r:id="rId8"/>
    <sheet state="visible" name="Bug Log" sheetId="6" r:id="rId9"/>
  </sheets>
  <definedNames>
    <definedName hidden="1" localSheetId="3" name="_xlnm._FilterDatabase">'Test Scenarios'!$A$1:$F$1</definedName>
    <definedName hidden="1" localSheetId="4" name="_xlnm._FilterDatabase">'Test Cases'!$A$1:$O$1</definedName>
    <definedName hidden="1" localSheetId="5" name="_xlnm._FilterDatabase">'Bug Log'!$A$1:$R$8</definedName>
  </definedNames>
  <calcPr/>
  <extLst>
    <ext uri="GoogleSheetsCustomDataVersion2">
      <go:sheetsCustomData xmlns:go="http://customooxmlschemas.google.com/" r:id="rId10" roundtripDataChecksum="Irnv5kvPixAiaeCIFi16muNsAHijNfHT5WjCjVGPmSc="/>
    </ext>
  </extLst>
</workbook>
</file>

<file path=xl/sharedStrings.xml><?xml version="1.0" encoding="utf-8"?>
<sst xmlns="http://schemas.openxmlformats.org/spreadsheetml/2006/main" count="353" uniqueCount="238">
  <si>
    <t>Field</t>
  </si>
  <si>
    <t>SQA MANUAL TESTING TRACKER — START HERE</t>
  </si>
  <si>
    <t>MANUAL TESTING SUMMARY</t>
  </si>
  <si>
    <t>Scenario ID</t>
  </si>
  <si>
    <t>Details / Your Update</t>
  </si>
  <si>
    <t>Feature / Module</t>
  </si>
  <si>
    <t>Test Scenario</t>
  </si>
  <si>
    <t>Project Name</t>
  </si>
  <si>
    <t>Priority</t>
  </si>
  <si>
    <t>Status</t>
  </si>
  <si>
    <t>Notes</t>
  </si>
  <si>
    <t>Purpose</t>
  </si>
  <si>
    <t>Manual Testing Practice E-commerce Website</t>
  </si>
  <si>
    <t>TS-001</t>
  </si>
  <si>
    <t>Metric</t>
  </si>
  <si>
    <t>Prepared By</t>
  </si>
  <si>
    <t>Home</t>
  </si>
  <si>
    <t>Enter your name</t>
  </si>
  <si>
    <t>Count</t>
  </si>
  <si>
    <t>Verify home page loads and main navigation works</t>
  </si>
  <si>
    <t>Version</t>
  </si>
  <si>
    <t>How to interpret</t>
  </si>
  <si>
    <t>1.0</t>
  </si>
  <si>
    <t>Date Created</t>
  </si>
  <si>
    <t>Total test cases</t>
  </si>
  <si>
    <t>Enter date</t>
  </si>
  <si>
    <t>Track your manual testing practice for the e-commerce website.</t>
  </si>
  <si>
    <t>Objective</t>
  </si>
  <si>
    <t>Verify that the website's main functions work as expected.</t>
  </si>
  <si>
    <t>High</t>
  </si>
  <si>
    <t>In Scope</t>
  </si>
  <si>
    <t>Home, products/search/filter, login/logout, cart, checkout form, contact form.</t>
  </si>
  <si>
    <t>Out of Scope</t>
  </si>
  <si>
    <t>Not Run</t>
  </si>
  <si>
    <t>Real payment gateway / real online transactions.</t>
  </si>
  <si>
    <t>Test Approach</t>
  </si>
  <si>
    <t>Manual functional, smoke, negative, UI, and regression testing.</t>
  </si>
  <si>
    <t>TS-002</t>
  </si>
  <si>
    <t>How to use</t>
  </si>
  <si>
    <t>Test Environment</t>
  </si>
  <si>
    <t>Products</t>
  </si>
  <si>
    <t>Windows + Google Chrome + http://127.0.0.1:5000</t>
  </si>
  <si>
    <t>Upload this .xlsx file to Google Drive, then right-click → Open with → Google Sheets.</t>
  </si>
  <si>
    <t>Verify product list displays correctly</t>
  </si>
  <si>
    <t>Tools</t>
  </si>
  <si>
    <t>Chrome for testing; Google Sheets for test cases/results; Jira optional for bugs.</t>
  </si>
  <si>
    <t>Entry Criteria</t>
  </si>
  <si>
    <t>Website runs; pages are accessible; test data is ready.</t>
  </si>
  <si>
    <t>Exit Criteria</t>
  </si>
  <si>
    <t>1. Test Plan</t>
  </si>
  <si>
    <t>Planned tests executed or blockers documented; results and defects recorded.</t>
  </si>
  <si>
    <t>TS-003</t>
  </si>
  <si>
    <t>Fill in project details, scope, tools, environment, risks, and timeline.</t>
  </si>
  <si>
    <t>Risks / Assumptions</t>
  </si>
  <si>
    <t>Search / Filter</t>
  </si>
  <si>
    <t>Local server must remain running; no real payment processing.</t>
  </si>
  <si>
    <t>Verify product search and price filters</t>
  </si>
  <si>
    <t>Planned Start Date</t>
  </si>
  <si>
    <t>Medium</t>
  </si>
  <si>
    <t>Planned End Date</t>
  </si>
  <si>
    <t>Notes / Updates</t>
  </si>
  <si>
    <t>2. Test Scenarios</t>
  </si>
  <si>
    <t>Add ongoing updates here.</t>
  </si>
  <si>
    <t>List high-level features or things you want to test.</t>
  </si>
  <si>
    <t>TS-004</t>
  </si>
  <si>
    <t>Login</t>
  </si>
  <si>
    <t>Verify login with valid credentials</t>
  </si>
  <si>
    <t>3. Test Cases</t>
  </si>
  <si>
    <t>Write steps and expected results; after testing, update actual result and status.</t>
  </si>
  <si>
    <t>Number of test case IDs entered</t>
  </si>
  <si>
    <t>TS-005</t>
  </si>
  <si>
    <t>Pass</t>
  </si>
  <si>
    <t>Verify login rejects invalid credentials</t>
  </si>
  <si>
    <t>4. Bug Log</t>
  </si>
  <si>
    <t>Log only issues you actually observe. Include steps, expected/actual result, severity, and status.</t>
  </si>
  <si>
    <t>TS-006</t>
  </si>
  <si>
    <t>Logout</t>
  </si>
  <si>
    <t>Verify user can log out</t>
  </si>
  <si>
    <t>5. Summary</t>
  </si>
  <si>
    <t>Counts automatically update from the Test Cases and Bug Log sheets.</t>
  </si>
  <si>
    <t>Tests that met expected result</t>
  </si>
  <si>
    <t>TS-007</t>
  </si>
  <si>
    <t>Fail</t>
  </si>
  <si>
    <t>Cart</t>
  </si>
  <si>
    <t>Status meanings</t>
  </si>
  <si>
    <t>Verify adding products and changing quantity</t>
  </si>
  <si>
    <t>Not Run = not tested; Pass = matches expected; Fail = differs; Blocked = unable to test.</t>
  </si>
  <si>
    <t>TS-008</t>
  </si>
  <si>
    <t>Practice URL</t>
  </si>
  <si>
    <t>http://127.0.0.1:5000</t>
  </si>
  <si>
    <t>Verify cart total updates correctly</t>
  </si>
  <si>
    <t>Tests that did not meet expected result</t>
  </si>
  <si>
    <t>Blocked</t>
  </si>
  <si>
    <t>Practice login</t>
  </si>
  <si>
    <t>TS-009</t>
  </si>
  <si>
    <t>Email: tester@example.com | Password: Test123!</t>
  </si>
  <si>
    <t>Checkout</t>
  </si>
  <si>
    <t>Verify required checkout fields and submission</t>
  </si>
  <si>
    <t>Important</t>
  </si>
  <si>
    <t>Keep your local server running while testing. Do not record an example as a real bug unless reproduced.</t>
  </si>
  <si>
    <t>Tests unable to execute</t>
  </si>
  <si>
    <t>TS-010</t>
  </si>
  <si>
    <t>Contact</t>
  </si>
  <si>
    <t>Verify contact form validation and submission</t>
  </si>
  <si>
    <t>Tests not executed yet</t>
  </si>
  <si>
    <t>Total bugs logged</t>
  </si>
  <si>
    <t>Bug IDs entered in Bug Log</t>
  </si>
  <si>
    <t>Open bugs</t>
  </si>
  <si>
    <t>Bugs not yet resolved</t>
  </si>
  <si>
    <t>Test Case ID</t>
  </si>
  <si>
    <t>Module</t>
  </si>
  <si>
    <t>Test Case Title</t>
  </si>
  <si>
    <t>Preconditions</t>
  </si>
  <si>
    <t>Test Steps</t>
  </si>
  <si>
    <t>Test Data</t>
  </si>
  <si>
    <t>Expected Result</t>
  </si>
  <si>
    <t>Actual Result</t>
  </si>
  <si>
    <t>Executed By</t>
  </si>
  <si>
    <t>Execution Date</t>
  </si>
  <si>
    <t>Bug ID</t>
  </si>
  <si>
    <t>Evidence / Notes</t>
  </si>
  <si>
    <t>TC-001</t>
  </si>
  <si>
    <t>Title / Summary</t>
  </si>
  <si>
    <t>Environment</t>
  </si>
  <si>
    <t>Verify home page loads</t>
  </si>
  <si>
    <t>Local server is running</t>
  </si>
  <si>
    <t>Steps to Reproduce</t>
  </si>
  <si>
    <t>1. Open http://127.0.0.1:5000</t>
  </si>
  <si>
    <t>N/A</t>
  </si>
  <si>
    <t>Home page loads without an error</t>
  </si>
  <si>
    <t>Severity</t>
  </si>
  <si>
    <t>Reported By</t>
  </si>
  <si>
    <t>Date Reported</t>
  </si>
  <si>
    <t>TC-002</t>
  </si>
  <si>
    <t>Assigned To</t>
  </si>
  <si>
    <t>Verify product list displays</t>
  </si>
  <si>
    <t>Screenshot / Evidence</t>
  </si>
  <si>
    <t>Website is open</t>
  </si>
  <si>
    <t>1. Click Products
2. Observe product list</t>
  </si>
  <si>
    <t>Retest Result</t>
  </si>
  <si>
    <t>Products are displayed with relevant details</t>
  </si>
  <si>
    <t>BUG-001</t>
  </si>
  <si>
    <t>TC-003</t>
  </si>
  <si>
    <t>Search</t>
  </si>
  <si>
    <t>Search for a product</t>
  </si>
  <si>
    <t>Products page is open</t>
  </si>
  <si>
    <t>1. Enter a product name
2. Submit search</t>
  </si>
  <si>
    <t>Use a visible product name</t>
  </si>
  <si>
    <t>Contact form accepts malformed email address</t>
  </si>
  <si>
    <t>Relevant matching products are shown</t>
  </si>
  <si>
    <t>Chrome / http://127.0.0.1:5000</t>
  </si>
  <si>
    <t>Contact page is open</t>
  </si>
  <si>
    <t>1. Open Contact page. 2. Enter name and message. 3. Enter malformed email such as x@@example.com. 4. Submit.</t>
  </si>
  <si>
    <t>Form should reject malformed email and show validation message.</t>
  </si>
  <si>
    <t>Code review candidate: validation only checks that email contains @ and that the part after the last @ contains a dot; malformed values like x@@example.com may be accepted. Reproduce in browser.</t>
  </si>
  <si>
    <t>TC-004</t>
  </si>
  <si>
    <t>Moderate</t>
  </si>
  <si>
    <t>Login with valid credentials</t>
  </si>
  <si>
    <t>User is logged out</t>
  </si>
  <si>
    <t>1. Open Login
2. Enter email and password
3. Click Login</t>
  </si>
  <si>
    <t>tester@example.com / Test123!</t>
  </si>
  <si>
    <t>Login succeeds and logged-in state is shown</t>
  </si>
  <si>
    <t>New</t>
  </si>
  <si>
    <t>QA Tester</t>
  </si>
  <si>
    <t>TC-005</t>
  </si>
  <si>
    <t>Login with wrong password</t>
  </si>
  <si>
    <t>1. Open Login
2. Enter valid email and wrong password
3. Click Login</t>
  </si>
  <si>
    <t>tester@example.com / Wrong123!</t>
  </si>
  <si>
    <t>Login is rejected and appropriate message/state is shown</t>
  </si>
  <si>
    <t>TC-009</t>
  </si>
  <si>
    <t>Not Retested</t>
  </si>
  <si>
    <t>Candidate from source-code review; confirm manually before reporting as verified.</t>
  </si>
  <si>
    <t>BUG-002</t>
  </si>
  <si>
    <t>Cart quantity can exceed maximum of 99 when adding repeatedly</t>
  </si>
  <si>
    <t>TC-006</t>
  </si>
  <si>
    <t>A product is available on Products page</t>
  </si>
  <si>
    <t>1. Open Products. 2. Add the same product with quantity 99. 3. Add that same product again with quantity 1. 4. Open Cart.</t>
  </si>
  <si>
    <t>Cart quantity should remain within the documented maximum of 99, or the app should clearly prevent exceeding it.</t>
  </si>
  <si>
    <t>Add a product to cart</t>
  </si>
  <si>
    <t>Code review candidate: Add-to-cart adds the new quantity to the existing quantity without checking the combined total; cart may show 100 or more. Reproduce in browser.</t>
  </si>
  <si>
    <t>1. Select a product
2. Click Add to Cart
3. Open cart</t>
  </si>
  <si>
    <t>Any listed product</t>
  </si>
  <si>
    <t>Selected product appears in cart with correct quantity</t>
  </si>
  <si>
    <t>TC-007</t>
  </si>
  <si>
    <t>BUG-003</t>
  </si>
  <si>
    <t>Logout action uses GET request</t>
  </si>
  <si>
    <t>Authentication</t>
  </si>
  <si>
    <t>Verify cart total</t>
  </si>
  <si>
    <t>At least one product is in cart</t>
  </si>
  <si>
    <t>User is logged in</t>
  </si>
  <si>
    <t>1. Note product price and quantity
2. Compare displayed total</t>
  </si>
  <si>
    <t>1. Log in. 2. Observe the Logout link/request. 3. Open the logout URL directly in the browser.</t>
  </si>
  <si>
    <t>Price × quantity</t>
  </si>
  <si>
    <t>State-changing logout should use POST with appropriate CSRF protection, rather than a GET link.</t>
  </si>
  <si>
    <t>Cart total matches item prices and quantities</t>
  </si>
  <si>
    <t>Code review finding: /logout is implemented as a GET route and clears the session. This is a security design issue; verify the UI flow and document as a security finding.</t>
  </si>
  <si>
    <t>Major</t>
  </si>
  <si>
    <t>TC-008</t>
  </si>
  <si>
    <t>Security-oriented finding from source-code review; not yet manually verified.</t>
  </si>
  <si>
    <t>Validate required checkout fields</t>
  </si>
  <si>
    <t>BUG-004</t>
  </si>
  <si>
    <t>Cart contains a product</t>
  </si>
  <si>
    <t>Login redirect may send user to an external URL</t>
  </si>
  <si>
    <t>1. Open checkout
2. Leave required fields blank
3. Submit form</t>
  </si>
  <si>
    <t>Blank name/city/address</t>
  </si>
  <si>
    <t>Required fields are validated and checkout is not completed</t>
  </si>
  <si>
    <t>1. Open /login?next=https://example.com. 2. Log in using tester@example.com / Test123!. 3. Observe the destination after login.</t>
  </si>
  <si>
    <t>After login, user should be redirected only to a trusted local page.</t>
  </si>
  <si>
    <t>Code review candidate: login redirects to the supplied next parameter without validating that it is a local URL. Test only with a harmless external URL and record the result.</t>
  </si>
  <si>
    <t>Validate empty contact form</t>
  </si>
  <si>
    <t>Potential open-redirect security issue from source-code review; confirm manually.</t>
  </si>
  <si>
    <t>1. Leave required fields blank
2. Submit form</t>
  </si>
  <si>
    <t>BUG-005</t>
  </si>
  <si>
    <t>Blank required fields</t>
  </si>
  <si>
    <t>Unauthenticated user can add products to cart</t>
  </si>
  <si>
    <t>Required field validation appears; form is not submitted</t>
  </si>
  <si>
    <t>Cart / Authentication</t>
  </si>
  <si>
    <t>User is logged out and Products page is available</t>
  </si>
  <si>
    <t>1. Log out or open the site in a fresh/incognito session. 2. Open Products. 3. Click Add to Cart for any product. 4. Open Cart.</t>
  </si>
  <si>
    <t>Per the requested business rule, redirect the user to Login/Sign Up before allowing cart actions, or clearly enforce authentication before continuing.</t>
  </si>
  <si>
    <t>Source-code review confirms /cart/add/&lt;product_id&gt; does not check login session, so a logged-out visitor can add an item. Reproduce in browser.</t>
  </si>
  <si>
    <t>Verified from app.py route logic; reproduce in browser and attach screenshot before treating as fully verified.</t>
  </si>
  <si>
    <t>BUG-006</t>
  </si>
  <si>
    <t>Unauthenticated user can proceed to checkout and place an order</t>
  </si>
  <si>
    <t>Checkout / Authentication</t>
  </si>
  <si>
    <t>User is logged out and cart contains at least one product</t>
  </si>
  <si>
    <t>1. Log out or open a fresh/incognito session. 2. Add a product to cart. 3. Open Cart. 4. Click Checkout. 5. Enter name, city and address. 6. Submit the order.</t>
  </si>
  <si>
    <t>Per the requested business rule, user must be logged in before checkout/order placement; if this is a first-time user, show Sign Up and then Login.</t>
  </si>
  <si>
    <t>Source-code review confirms /checkout checks only whether cart is empty and required checkout fields are filled; it does not require login. An unauthenticated visitor can submit a demo order. Reproduce in browser.</t>
  </si>
  <si>
    <t>Potentially confirmed from app.py route logic; verify the full UI flow and capture evidence.</t>
  </si>
  <si>
    <t>BUG-007</t>
  </si>
  <si>
    <t>New visitors cannot create an account because Sign Up is unavailable</t>
  </si>
  <si>
    <t>Authentication / Registration</t>
  </si>
  <si>
    <t>Visitor has never registered and is logged out</t>
  </si>
  <si>
    <t>1. Open the website. 2. Open the Login page. 3. Look for a Sign Up / Create Account option. 4. Try to register a new account.</t>
  </si>
  <si>
    <t>If registration is required by the product requirements, a new visitor should be able to create an account, then log in before using cart/checkout.</t>
  </si>
  <si>
    <t>Source-code review shows only a hard-coded demo user and no registration route/template. A new visitor cannot create an account through the UI.</t>
  </si>
  <si>
    <t>Classify as a bug only if Sign Up is part of the agreed requirements; otherwise record as a missing feature/enhancement.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</si>
</sst>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yyyy-mm-dd"/>
  </numFmts>
  <fonts count="8">
    <font>
      <sz val="11.0"/>
      <color theme="1"/>
      <name val="Calibri"/>
      <scheme val="minor"/>
    </font>
    <font>
      <b/>
      <color rgb="FFFFFFFF"/>
      <name val="Calibri"/>
      <scheme val="minor"/>
    </font>
    <font>
      <b/>
      <sz val="16.0"/>
      <color rgb="FFFFFFFF"/>
      <name val="Calibri"/>
      <scheme val="minor"/>
    </font>
    <font/>
    <font>
      <b/>
      <color rgb="FF1F4E78"/>
      <name val="Calibri"/>
      <scheme val="minor"/>
    </font>
    <font>
      <sz val="11.0"/>
      <color theme="1"/>
      <name val="Calibri"/>
    </font>
    <font>
      <sz val="11.0"/>
      <color rgb="FF000000"/>
      <name val="Calibri"/>
    </font>
    <font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EAF3F8"/>
        <bgColor rgb="FFEAF3F8"/>
      </patternFill>
    </fill>
    <fill>
      <patternFill patternType="solid">
        <fgColor rgb="FFD9EAF7"/>
        <bgColor rgb="FFD9EAF7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/>
      <top/>
      <bottom/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D9E1F2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2" numFmtId="0" xfId="0" applyAlignment="1" applyBorder="1" applyFill="1" applyFont="1">
      <alignment horizontal="center"/>
    </xf>
    <xf borderId="3" fillId="0" fontId="3" numFmtId="0" xfId="0" applyBorder="1" applyFont="1"/>
    <xf borderId="4" fillId="2" fontId="2" numFmtId="0" xfId="0" applyAlignment="1" applyBorder="1" applyFill="1" applyFont="1">
      <alignment horizontal="center"/>
    </xf>
    <xf borderId="5" fillId="0" fontId="3" numFmtId="0" xfId="0" applyBorder="1" applyFont="1"/>
    <xf borderId="6" fillId="0" fontId="3" numFmtId="0" xfId="0" applyBorder="1" applyFont="1"/>
    <xf borderId="1" fillId="3" fontId="4" numFmtId="0" xfId="0" applyAlignment="1" applyBorder="1" applyFill="1" applyFont="1">
      <alignment horizontal="center" shrinkToFit="0" vertical="top" wrapText="1"/>
    </xf>
    <xf borderId="7" fillId="0" fontId="3" numFmtId="0" xfId="0" applyBorder="1" applyFont="1"/>
    <xf borderId="1" fillId="0" fontId="5" numFmtId="0" xfId="0" applyAlignment="1" applyBorder="1" applyFont="1">
      <alignment horizontal="center" shrinkToFit="0" vertical="top" wrapText="1"/>
    </xf>
    <xf borderId="1" fillId="2" fontId="1" numFmtId="0" xfId="0" applyAlignment="1" applyBorder="1" applyFill="1" applyFont="1">
      <alignment horizontal="center"/>
    </xf>
    <xf borderId="1" fillId="4" fontId="4" numFmtId="0" xfId="0" applyAlignment="1" applyBorder="1" applyFill="1" applyFont="1">
      <alignment horizontal="center" vertical="center"/>
    </xf>
    <xf borderId="4" fillId="0" fontId="5" numFmtId="0" xfId="0" applyAlignment="1" applyBorder="1" applyFont="1">
      <alignment horizontal="center" shrinkToFit="0" vertical="center" wrapText="1"/>
    </xf>
    <xf borderId="8" fillId="3" fontId="4" numFmtId="0" xfId="0" applyAlignment="1" applyBorder="1" applyFill="1" applyFont="1">
      <alignment shrinkToFit="0" vertical="top" wrapText="1"/>
    </xf>
    <xf borderId="8" fillId="0" fontId="5" numFmtId="0" xfId="0" applyAlignment="1" applyBorder="1" applyFont="1">
      <alignment shrinkToFit="0" vertical="top" wrapText="1"/>
    </xf>
    <xf borderId="1" fillId="0" fontId="5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horizontal="center" readingOrder="0" shrinkToFit="0" vertical="center" wrapText="1"/>
    </xf>
    <xf borderId="1" fillId="0" fontId="6" numFmtId="164" xfId="0" applyAlignment="1" applyBorder="1" applyFont="1" applyNumberFormat="1">
      <alignment horizontal="center" readingOrder="0" shrinkToFit="0" vertical="center" wrapText="1"/>
    </xf>
    <xf borderId="1" fillId="0" fontId="6" numFmtId="0" xfId="0" applyAlignment="1" applyBorder="1" applyFont="1">
      <alignment horizontal="center" shrinkToFit="0" vertical="center" wrapText="1"/>
    </xf>
    <xf borderId="1" fillId="0" fontId="6" numFmtId="165" xfId="0" applyAlignment="1" applyBorder="1" applyFont="1" applyNumberFormat="1">
      <alignment horizontal="center" readingOrder="0" shrinkToFit="0" vertical="center" wrapText="1"/>
    </xf>
    <xf borderId="0" fillId="0" fontId="7" numFmtId="0" xfId="0" applyFont="1"/>
  </cellXfs>
  <cellStyles count="1">
    <cellStyle xfId="0" name="Normal" builtinId="0"/>
  </cellStyles>
  <dxfs count="3">
    <dxf>
      <font/>
      <fill>
        <patternFill patternType="solid">
          <fgColor rgb="FFC6EFCE"/>
          <bgColor rgb="FFC6EFCE"/>
        </patternFill>
      </fill>
      <border/>
    </dxf>
    <dxf>
      <font/>
      <fill>
        <patternFill patternType="solid">
          <fgColor rgb="FFFFC7CE"/>
          <bgColor rgb="FFFFC7CE"/>
        </patternFill>
      </fill>
      <border/>
    </dxf>
    <dxf>
      <font/>
      <fill>
        <patternFill patternType="solid">
          <fgColor rgb="FFFFEB9C"/>
          <bgColor rgb="FFFFEB9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3.0"/>
    <col customWidth="1" min="2" max="4" width="28.0"/>
    <col customWidth="1" min="5" max="26" width="8.71"/>
  </cols>
  <sheetData>
    <row r="1" ht="31.5" customHeight="1">
      <c r="A1" s="2" t="s">
        <v>1</v>
      </c>
      <c r="B1" s="3"/>
      <c r="C1" s="3"/>
      <c r="D1" s="5"/>
    </row>
    <row r="3" ht="31.5" customHeight="1">
      <c r="A3" s="11" t="s">
        <v>11</v>
      </c>
      <c r="B3" s="12" t="s">
        <v>26</v>
      </c>
      <c r="C3" s="6"/>
      <c r="D3" s="8"/>
    </row>
    <row r="4" ht="31.5" customHeight="1">
      <c r="A4" s="11" t="s">
        <v>38</v>
      </c>
      <c r="B4" s="12" t="s">
        <v>42</v>
      </c>
      <c r="C4" s="6"/>
      <c r="D4" s="8"/>
    </row>
    <row r="5" ht="31.5" customHeight="1">
      <c r="A5" s="11" t="s">
        <v>49</v>
      </c>
      <c r="B5" s="12" t="s">
        <v>52</v>
      </c>
      <c r="C5" s="6"/>
      <c r="D5" s="8"/>
    </row>
    <row r="6" ht="31.5" customHeight="1">
      <c r="A6" s="11" t="s">
        <v>61</v>
      </c>
      <c r="B6" s="12" t="s">
        <v>63</v>
      </c>
      <c r="C6" s="6"/>
      <c r="D6" s="8"/>
    </row>
    <row r="7" ht="31.5" customHeight="1">
      <c r="A7" s="11" t="s">
        <v>67</v>
      </c>
      <c r="B7" s="12" t="s">
        <v>68</v>
      </c>
      <c r="C7" s="6"/>
      <c r="D7" s="8"/>
    </row>
    <row r="8" ht="31.5" customHeight="1">
      <c r="A8" s="11" t="s">
        <v>73</v>
      </c>
      <c r="B8" s="12" t="s">
        <v>74</v>
      </c>
      <c r="C8" s="6"/>
      <c r="D8" s="8"/>
    </row>
    <row r="9" ht="31.5" customHeight="1">
      <c r="A9" s="11" t="s">
        <v>78</v>
      </c>
      <c r="B9" s="12" t="s">
        <v>79</v>
      </c>
      <c r="C9" s="6"/>
      <c r="D9" s="8"/>
    </row>
    <row r="10" ht="31.5" customHeight="1">
      <c r="A10" s="11" t="s">
        <v>84</v>
      </c>
      <c r="B10" s="12" t="s">
        <v>86</v>
      </c>
      <c r="C10" s="6"/>
      <c r="D10" s="8"/>
    </row>
    <row r="11" ht="31.5" customHeight="1">
      <c r="A11" s="11" t="s">
        <v>88</v>
      </c>
      <c r="B11" s="12" t="s">
        <v>89</v>
      </c>
      <c r="C11" s="6"/>
      <c r="D11" s="8"/>
    </row>
    <row r="12" ht="31.5" customHeight="1">
      <c r="A12" s="11" t="s">
        <v>93</v>
      </c>
      <c r="B12" s="12" t="s">
        <v>95</v>
      </c>
      <c r="C12" s="6"/>
      <c r="D12" s="8"/>
    </row>
    <row r="13" ht="31.5" customHeight="1">
      <c r="A13" s="11" t="s">
        <v>98</v>
      </c>
      <c r="B13" s="12" t="s">
        <v>99</v>
      </c>
      <c r="C13" s="6"/>
      <c r="D13" s="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B9:D9"/>
    <mergeCell ref="B10:D10"/>
    <mergeCell ref="B11:D11"/>
    <mergeCell ref="B12:D12"/>
    <mergeCell ref="B13:D13"/>
    <mergeCell ref="A1:D1"/>
    <mergeCell ref="B3:D3"/>
    <mergeCell ref="B4:D4"/>
    <mergeCell ref="B5:D5"/>
    <mergeCell ref="B6:D6"/>
    <mergeCell ref="B7:D7"/>
    <mergeCell ref="B8:D8"/>
  </mergeCells>
  <printOptions/>
  <pageMargins bottom="1.0" footer="0.0" header="0.0" left="0.75" right="0.7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8.0"/>
    <col customWidth="1" min="2" max="2" width="18.0"/>
    <col customWidth="1" min="3" max="3" width="48.0"/>
    <col customWidth="1" min="4" max="26" width="8.71"/>
  </cols>
  <sheetData>
    <row r="1">
      <c r="A1" s="4" t="s">
        <v>2</v>
      </c>
      <c r="B1" s="6"/>
      <c r="C1" s="8"/>
    </row>
    <row r="2">
      <c r="A2" s="10" t="s">
        <v>14</v>
      </c>
      <c r="B2" s="10" t="s">
        <v>18</v>
      </c>
      <c r="C2" s="10" t="s">
        <v>21</v>
      </c>
    </row>
    <row r="3">
      <c r="A3" s="9" t="s">
        <v>24</v>
      </c>
      <c r="B3" s="9">
        <f>COUNTA('Test Cases'!A2:A300)</f>
        <v>9</v>
      </c>
      <c r="C3" s="9" t="s">
        <v>69</v>
      </c>
    </row>
    <row r="4">
      <c r="A4" s="9" t="s">
        <v>71</v>
      </c>
      <c r="B4" s="9">
        <f>COUNTIF('Test Cases'!J2:J300,"Pass")</f>
        <v>0</v>
      </c>
      <c r="C4" s="9" t="s">
        <v>80</v>
      </c>
    </row>
    <row r="5">
      <c r="A5" s="9" t="s">
        <v>82</v>
      </c>
      <c r="B5" s="9">
        <f>COUNTIF('Test Cases'!J2:J300,"Fail")</f>
        <v>0</v>
      </c>
      <c r="C5" s="9" t="s">
        <v>91</v>
      </c>
    </row>
    <row r="6">
      <c r="A6" s="9" t="s">
        <v>92</v>
      </c>
      <c r="B6" s="9">
        <f>COUNTIF('Test Cases'!J2:J300,"Blocked")</f>
        <v>0</v>
      </c>
      <c r="C6" s="9" t="s">
        <v>100</v>
      </c>
    </row>
    <row r="7">
      <c r="A7" s="9" t="s">
        <v>33</v>
      </c>
      <c r="B7" s="9">
        <f>COUNTIF('Test Cases'!J2:J300,"Not Run")</f>
        <v>9</v>
      </c>
      <c r="C7" s="9" t="s">
        <v>104</v>
      </c>
    </row>
    <row r="8">
      <c r="A8" s="9" t="s">
        <v>105</v>
      </c>
      <c r="B8" s="9">
        <f>COUNTA('Bug Log'!A2:A300)</f>
        <v>7</v>
      </c>
      <c r="C8" s="9" t="s">
        <v>106</v>
      </c>
    </row>
    <row r="9">
      <c r="A9" s="9" t="s">
        <v>107</v>
      </c>
      <c r="B9" s="9">
        <f>COUNTIF('Bug Log'!K2:K300,"New")+COUNTIF('Bug Log'!K2:K300,"Open")+COUNTIF('Bug Log'!K2:K300,"In Progress")</f>
        <v>7</v>
      </c>
      <c r="C9" s="9" t="s">
        <v>108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rintOptions/>
  <pageMargins bottom="1.0" footer="0.0" header="0.0" left="0.75" right="0.7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0.0"/>
    <col customWidth="1" min="2" max="2" width="100.0"/>
    <col customWidth="1" min="3" max="26" width="8.71"/>
  </cols>
  <sheetData>
    <row r="1" ht="31.5" customHeight="1">
      <c r="A1" s="1" t="s">
        <v>0</v>
      </c>
      <c r="B1" s="1" t="s">
        <v>4</v>
      </c>
    </row>
    <row r="2">
      <c r="A2" s="7" t="s">
        <v>7</v>
      </c>
      <c r="B2" s="9" t="s">
        <v>12</v>
      </c>
    </row>
    <row r="3">
      <c r="A3" s="7" t="s">
        <v>15</v>
      </c>
      <c r="B3" s="9" t="s">
        <v>17</v>
      </c>
    </row>
    <row r="4">
      <c r="A4" s="7" t="s">
        <v>20</v>
      </c>
      <c r="B4" s="9" t="s">
        <v>22</v>
      </c>
    </row>
    <row r="5">
      <c r="A5" s="7" t="s">
        <v>23</v>
      </c>
      <c r="B5" s="9" t="s">
        <v>25</v>
      </c>
    </row>
    <row r="6">
      <c r="A6" s="7" t="s">
        <v>27</v>
      </c>
      <c r="B6" s="9" t="s">
        <v>28</v>
      </c>
    </row>
    <row r="7">
      <c r="A7" s="7" t="s">
        <v>30</v>
      </c>
      <c r="B7" s="9" t="s">
        <v>31</v>
      </c>
    </row>
    <row r="8">
      <c r="A8" s="7" t="s">
        <v>32</v>
      </c>
      <c r="B8" s="9" t="s">
        <v>34</v>
      </c>
    </row>
    <row r="9">
      <c r="A9" s="7" t="s">
        <v>35</v>
      </c>
      <c r="B9" s="9" t="s">
        <v>36</v>
      </c>
    </row>
    <row r="10">
      <c r="A10" s="7" t="s">
        <v>39</v>
      </c>
      <c r="B10" s="9" t="s">
        <v>41</v>
      </c>
    </row>
    <row r="11">
      <c r="A11" s="7" t="s">
        <v>44</v>
      </c>
      <c r="B11" s="9" t="s">
        <v>45</v>
      </c>
    </row>
    <row r="12">
      <c r="A12" s="7" t="s">
        <v>46</v>
      </c>
      <c r="B12" s="9" t="s">
        <v>47</v>
      </c>
    </row>
    <row r="13">
      <c r="A13" s="7" t="s">
        <v>48</v>
      </c>
      <c r="B13" s="9" t="s">
        <v>50</v>
      </c>
    </row>
    <row r="14">
      <c r="A14" s="7" t="s">
        <v>53</v>
      </c>
      <c r="B14" s="9" t="s">
        <v>55</v>
      </c>
    </row>
    <row r="15">
      <c r="A15" s="7" t="s">
        <v>57</v>
      </c>
      <c r="B15" s="9" t="s">
        <v>25</v>
      </c>
    </row>
    <row r="16">
      <c r="A16" s="7" t="s">
        <v>59</v>
      </c>
      <c r="B16" s="9" t="s">
        <v>25</v>
      </c>
    </row>
    <row r="17">
      <c r="A17" s="7" t="s">
        <v>60</v>
      </c>
      <c r="B17" s="9" t="s">
        <v>62</v>
      </c>
    </row>
    <row r="18">
      <c r="A18" s="7"/>
      <c r="B18" s="9"/>
    </row>
    <row r="19">
      <c r="A19" s="7"/>
      <c r="B19" s="9"/>
    </row>
    <row r="20">
      <c r="A20" s="7"/>
      <c r="B20" s="9"/>
    </row>
    <row r="21" ht="15.75" customHeight="1">
      <c r="A21" s="13"/>
      <c r="B21" s="14"/>
    </row>
    <row r="22" ht="15.75" customHeight="1">
      <c r="A22" s="13"/>
      <c r="B22" s="14"/>
    </row>
    <row r="23" ht="15.75" customHeight="1">
      <c r="A23" s="13"/>
      <c r="B23" s="14"/>
    </row>
    <row r="24" ht="15.75" customHeight="1">
      <c r="A24" s="13"/>
      <c r="B24" s="14"/>
    </row>
    <row r="25" ht="15.75" customHeight="1">
      <c r="A25" s="13"/>
      <c r="B25" s="14"/>
    </row>
    <row r="26" ht="15.75" customHeight="1">
      <c r="A26" s="13"/>
      <c r="B26" s="14"/>
    </row>
    <row r="27" ht="15.75" customHeight="1">
      <c r="A27" s="13"/>
      <c r="B27" s="14"/>
    </row>
    <row r="28" ht="15.75" customHeight="1">
      <c r="A28" s="13"/>
      <c r="B28" s="14"/>
    </row>
    <row r="29" ht="15.75" customHeight="1">
      <c r="A29" s="13"/>
      <c r="B29" s="14"/>
    </row>
    <row r="30" ht="15.75" customHeight="1">
      <c r="A30" s="13"/>
      <c r="B30" s="14"/>
    </row>
    <row r="31" ht="15.75" customHeight="1">
      <c r="A31" s="13"/>
      <c r="B31" s="14"/>
    </row>
    <row r="32" ht="15.75" customHeight="1">
      <c r="A32" s="13"/>
      <c r="B32" s="14"/>
    </row>
    <row r="33" ht="15.75" customHeight="1">
      <c r="A33" s="13"/>
      <c r="B33" s="14"/>
    </row>
    <row r="34" ht="15.75" customHeight="1">
      <c r="A34" s="13"/>
      <c r="B34" s="14"/>
    </row>
    <row r="35" ht="15.75" customHeight="1">
      <c r="A35" s="13"/>
      <c r="B35" s="14"/>
    </row>
    <row r="36" ht="15.75" customHeight="1">
      <c r="A36" s="13"/>
      <c r="B36" s="14"/>
    </row>
    <row r="37" ht="15.75" customHeight="1">
      <c r="A37" s="13"/>
      <c r="B37" s="14"/>
    </row>
    <row r="38" ht="15.75" customHeight="1">
      <c r="A38" s="13"/>
      <c r="B38" s="14"/>
    </row>
    <row r="39" ht="15.75" customHeight="1">
      <c r="A39" s="13"/>
      <c r="B39" s="14"/>
    </row>
    <row r="40" ht="15.75" customHeight="1">
      <c r="A40" s="13"/>
      <c r="B40" s="14"/>
    </row>
    <row r="41" ht="15.75" customHeight="1">
      <c r="A41" s="13"/>
      <c r="B41" s="14"/>
    </row>
    <row r="42" ht="15.75" customHeight="1">
      <c r="A42" s="13"/>
      <c r="B42" s="14"/>
    </row>
    <row r="43" ht="15.75" customHeight="1">
      <c r="A43" s="13"/>
      <c r="B43" s="14"/>
    </row>
    <row r="44" ht="15.75" customHeight="1">
      <c r="A44" s="13"/>
      <c r="B44" s="14"/>
    </row>
    <row r="45" ht="15.75" customHeight="1">
      <c r="A45" s="13"/>
      <c r="B45" s="14"/>
    </row>
    <row r="46" ht="15.75" customHeight="1">
      <c r="A46" s="13"/>
      <c r="B46" s="14"/>
    </row>
    <row r="47" ht="15.75" customHeight="1">
      <c r="A47" s="13"/>
      <c r="B47" s="14"/>
    </row>
    <row r="48" ht="15.75" customHeight="1">
      <c r="A48" s="13"/>
      <c r="B48" s="14"/>
    </row>
    <row r="49" ht="15.75" customHeight="1">
      <c r="A49" s="13"/>
      <c r="B49" s="14"/>
    </row>
    <row r="50" ht="15.75" customHeight="1">
      <c r="A50" s="13"/>
      <c r="B50" s="14"/>
    </row>
    <row r="51" ht="15.75" customHeight="1">
      <c r="A51" s="13"/>
      <c r="B51" s="14"/>
    </row>
    <row r="52" ht="15.75" customHeight="1">
      <c r="A52" s="13"/>
      <c r="B52" s="14"/>
    </row>
    <row r="53" ht="15.75" customHeight="1">
      <c r="A53" s="13"/>
      <c r="B53" s="14"/>
    </row>
    <row r="54" ht="15.75" customHeight="1">
      <c r="A54" s="13"/>
      <c r="B54" s="14"/>
    </row>
    <row r="55" ht="15.75" customHeight="1">
      <c r="A55" s="13"/>
      <c r="B55" s="14"/>
    </row>
    <row r="56" ht="15.75" customHeight="1">
      <c r="A56" s="13"/>
      <c r="B56" s="14"/>
    </row>
    <row r="57" ht="15.75" customHeight="1">
      <c r="A57" s="13"/>
      <c r="B57" s="14"/>
    </row>
    <row r="58" ht="15.75" customHeight="1">
      <c r="A58" s="13"/>
      <c r="B58" s="14"/>
    </row>
    <row r="59" ht="15.75" customHeight="1">
      <c r="A59" s="13"/>
      <c r="B59" s="14"/>
    </row>
    <row r="60" ht="15.75" customHeight="1">
      <c r="A60" s="13"/>
      <c r="B60" s="14"/>
    </row>
    <row r="61" ht="15.75" customHeight="1">
      <c r="A61" s="13"/>
      <c r="B61" s="14"/>
    </row>
    <row r="62" ht="15.75" customHeight="1">
      <c r="A62" s="13"/>
      <c r="B62" s="14"/>
    </row>
    <row r="63" ht="15.75" customHeight="1">
      <c r="A63" s="13"/>
      <c r="B63" s="14"/>
    </row>
    <row r="64" ht="15.75" customHeight="1">
      <c r="A64" s="13"/>
      <c r="B64" s="14"/>
    </row>
    <row r="65" ht="15.75" customHeight="1">
      <c r="A65" s="13"/>
      <c r="B65" s="14"/>
    </row>
    <row r="66" ht="15.75" customHeight="1">
      <c r="A66" s="13"/>
      <c r="B66" s="14"/>
    </row>
    <row r="67" ht="15.75" customHeight="1">
      <c r="A67" s="13"/>
      <c r="B67" s="14"/>
    </row>
    <row r="68" ht="15.75" customHeight="1">
      <c r="A68" s="13"/>
      <c r="B68" s="14"/>
    </row>
    <row r="69" ht="15.75" customHeight="1">
      <c r="A69" s="13"/>
      <c r="B69" s="14"/>
    </row>
    <row r="70" ht="15.75" customHeight="1">
      <c r="A70" s="13"/>
      <c r="B70" s="14"/>
    </row>
    <row r="71" ht="15.75" customHeight="1">
      <c r="A71" s="13"/>
      <c r="B71" s="14"/>
    </row>
    <row r="72" ht="15.75" customHeight="1">
      <c r="A72" s="13"/>
      <c r="B72" s="14"/>
    </row>
    <row r="73" ht="15.75" customHeight="1">
      <c r="A73" s="13"/>
      <c r="B73" s="14"/>
    </row>
    <row r="74" ht="15.75" customHeight="1">
      <c r="A74" s="13"/>
      <c r="B74" s="14"/>
    </row>
    <row r="75" ht="15.75" customHeight="1">
      <c r="A75" s="13"/>
      <c r="B75" s="14"/>
    </row>
    <row r="76" ht="15.75" customHeight="1">
      <c r="A76" s="13"/>
      <c r="B76" s="14"/>
    </row>
    <row r="77" ht="15.75" customHeight="1">
      <c r="A77" s="13"/>
      <c r="B77" s="14"/>
    </row>
    <row r="78" ht="15.75" customHeight="1">
      <c r="A78" s="13"/>
      <c r="B78" s="14"/>
    </row>
    <row r="79" ht="15.75" customHeight="1">
      <c r="A79" s="13"/>
      <c r="B79" s="14"/>
    </row>
    <row r="80" ht="15.75" customHeight="1">
      <c r="A80" s="13"/>
      <c r="B80" s="14"/>
    </row>
    <row r="81" ht="15.75" customHeight="1">
      <c r="A81" s="13"/>
      <c r="B81" s="14"/>
    </row>
    <row r="82" ht="15.75" customHeight="1">
      <c r="A82" s="13"/>
      <c r="B82" s="14"/>
    </row>
    <row r="83" ht="15.75" customHeight="1">
      <c r="A83" s="13"/>
      <c r="B83" s="14"/>
    </row>
    <row r="84" ht="15.75" customHeight="1">
      <c r="A84" s="13"/>
      <c r="B84" s="14"/>
    </row>
    <row r="85" ht="15.75" customHeight="1">
      <c r="A85" s="13"/>
      <c r="B85" s="14"/>
    </row>
    <row r="86" ht="15.75" customHeight="1">
      <c r="A86" s="13"/>
      <c r="B86" s="14"/>
    </row>
    <row r="87" ht="15.75" customHeight="1">
      <c r="A87" s="13"/>
      <c r="B87" s="14"/>
    </row>
    <row r="88" ht="15.75" customHeight="1">
      <c r="A88" s="13"/>
      <c r="B88" s="14"/>
    </row>
    <row r="89" ht="15.75" customHeight="1">
      <c r="A89" s="13"/>
      <c r="B89" s="14"/>
    </row>
    <row r="90" ht="15.75" customHeight="1">
      <c r="A90" s="13"/>
      <c r="B90" s="14"/>
    </row>
    <row r="91" ht="15.75" customHeight="1">
      <c r="A91" s="13"/>
      <c r="B91" s="14"/>
    </row>
    <row r="92" ht="15.75" customHeight="1">
      <c r="A92" s="13"/>
      <c r="B92" s="14"/>
    </row>
    <row r="93" ht="15.75" customHeight="1">
      <c r="A93" s="13"/>
      <c r="B93" s="14"/>
    </row>
    <row r="94" ht="15.75" customHeight="1">
      <c r="A94" s="13"/>
      <c r="B94" s="14"/>
    </row>
    <row r="95" ht="15.75" customHeight="1">
      <c r="A95" s="13"/>
      <c r="B95" s="14"/>
    </row>
    <row r="96" ht="15.75" customHeight="1">
      <c r="A96" s="13"/>
      <c r="B96" s="14"/>
    </row>
    <row r="97" ht="15.75" customHeight="1">
      <c r="A97" s="13"/>
      <c r="B97" s="14"/>
    </row>
    <row r="98" ht="15.75" customHeight="1">
      <c r="A98" s="13"/>
      <c r="B98" s="14"/>
    </row>
    <row r="99" ht="15.75" customHeight="1">
      <c r="A99" s="13"/>
      <c r="B99" s="14"/>
    </row>
    <row r="100" ht="15.75" customHeight="1">
      <c r="A100" s="13"/>
      <c r="B100" s="14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0"/>
    <col customWidth="1" min="2" max="2" width="24.0"/>
    <col customWidth="1" min="3" max="3" width="55.0"/>
    <col customWidth="1" min="4" max="4" width="14.0"/>
    <col customWidth="1" min="5" max="5" width="18.0"/>
    <col customWidth="1" min="6" max="6" width="40.0"/>
    <col customWidth="1" min="7" max="26" width="8.71"/>
  </cols>
  <sheetData>
    <row r="1" ht="31.5" customHeight="1">
      <c r="A1" s="1" t="s">
        <v>3</v>
      </c>
      <c r="B1" s="1" t="s">
        <v>5</v>
      </c>
      <c r="C1" s="1" t="s">
        <v>6</v>
      </c>
      <c r="D1" s="1" t="s">
        <v>8</v>
      </c>
      <c r="E1" s="1" t="s">
        <v>9</v>
      </c>
      <c r="F1" s="1" t="s">
        <v>10</v>
      </c>
    </row>
    <row r="2">
      <c r="A2" s="9" t="s">
        <v>13</v>
      </c>
      <c r="B2" s="9" t="s">
        <v>16</v>
      </c>
      <c r="C2" s="9" t="s">
        <v>19</v>
      </c>
      <c r="D2" s="9" t="s">
        <v>29</v>
      </c>
      <c r="E2" s="9" t="s">
        <v>33</v>
      </c>
      <c r="F2" s="9"/>
    </row>
    <row r="3">
      <c r="A3" s="9" t="s">
        <v>37</v>
      </c>
      <c r="B3" s="9" t="s">
        <v>40</v>
      </c>
      <c r="C3" s="9" t="s">
        <v>43</v>
      </c>
      <c r="D3" s="9" t="s">
        <v>29</v>
      </c>
      <c r="E3" s="9" t="s">
        <v>33</v>
      </c>
      <c r="F3" s="9"/>
    </row>
    <row r="4">
      <c r="A4" s="9" t="s">
        <v>51</v>
      </c>
      <c r="B4" s="9" t="s">
        <v>54</v>
      </c>
      <c r="C4" s="9" t="s">
        <v>56</v>
      </c>
      <c r="D4" s="9" t="s">
        <v>58</v>
      </c>
      <c r="E4" s="9" t="s">
        <v>33</v>
      </c>
      <c r="F4" s="9"/>
    </row>
    <row r="5">
      <c r="A5" s="9" t="s">
        <v>64</v>
      </c>
      <c r="B5" s="9" t="s">
        <v>65</v>
      </c>
      <c r="C5" s="9" t="s">
        <v>66</v>
      </c>
      <c r="D5" s="9" t="s">
        <v>29</v>
      </c>
      <c r="E5" s="9" t="s">
        <v>33</v>
      </c>
      <c r="F5" s="9"/>
    </row>
    <row r="6">
      <c r="A6" s="9" t="s">
        <v>70</v>
      </c>
      <c r="B6" s="9" t="s">
        <v>65</v>
      </c>
      <c r="C6" s="9" t="s">
        <v>72</v>
      </c>
      <c r="D6" s="9" t="s">
        <v>29</v>
      </c>
      <c r="E6" s="9" t="s">
        <v>33</v>
      </c>
      <c r="F6" s="9"/>
    </row>
    <row r="7">
      <c r="A7" s="9" t="s">
        <v>75</v>
      </c>
      <c r="B7" s="9" t="s">
        <v>76</v>
      </c>
      <c r="C7" s="9" t="s">
        <v>77</v>
      </c>
      <c r="D7" s="9" t="s">
        <v>58</v>
      </c>
      <c r="E7" s="9" t="s">
        <v>33</v>
      </c>
      <c r="F7" s="9"/>
    </row>
    <row r="8">
      <c r="A8" s="9" t="s">
        <v>81</v>
      </c>
      <c r="B8" s="9" t="s">
        <v>83</v>
      </c>
      <c r="C8" s="9" t="s">
        <v>85</v>
      </c>
      <c r="D8" s="9" t="s">
        <v>29</v>
      </c>
      <c r="E8" s="9" t="s">
        <v>33</v>
      </c>
      <c r="F8" s="9"/>
    </row>
    <row r="9">
      <c r="A9" s="9" t="s">
        <v>87</v>
      </c>
      <c r="B9" s="9" t="s">
        <v>83</v>
      </c>
      <c r="C9" s="9" t="s">
        <v>90</v>
      </c>
      <c r="D9" s="9" t="s">
        <v>29</v>
      </c>
      <c r="E9" s="9" t="s">
        <v>33</v>
      </c>
      <c r="F9" s="9"/>
    </row>
    <row r="10">
      <c r="A10" s="9" t="s">
        <v>94</v>
      </c>
      <c r="B10" s="9" t="s">
        <v>96</v>
      </c>
      <c r="C10" s="9" t="s">
        <v>97</v>
      </c>
      <c r="D10" s="9" t="s">
        <v>29</v>
      </c>
      <c r="E10" s="9" t="s">
        <v>33</v>
      </c>
      <c r="F10" s="9"/>
    </row>
    <row r="11">
      <c r="A11" s="9" t="s">
        <v>101</v>
      </c>
      <c r="B11" s="9" t="s">
        <v>102</v>
      </c>
      <c r="C11" s="9" t="s">
        <v>103</v>
      </c>
      <c r="D11" s="9" t="s">
        <v>58</v>
      </c>
      <c r="E11" s="9" t="s">
        <v>33</v>
      </c>
      <c r="F11" s="9"/>
    </row>
    <row r="12">
      <c r="A12" s="9"/>
      <c r="B12" s="9"/>
      <c r="C12" s="9"/>
      <c r="D12" s="9"/>
      <c r="E12" s="9"/>
      <c r="F12" s="9"/>
    </row>
    <row r="13">
      <c r="A13" s="9"/>
      <c r="B13" s="9"/>
      <c r="C13" s="9"/>
      <c r="D13" s="9"/>
      <c r="E13" s="9"/>
      <c r="F13" s="9"/>
    </row>
    <row r="14">
      <c r="A14" s="9"/>
      <c r="B14" s="9"/>
      <c r="C14" s="9"/>
      <c r="D14" s="9"/>
      <c r="E14" s="9"/>
      <c r="F14" s="9"/>
    </row>
    <row r="15">
      <c r="A15" s="9"/>
      <c r="B15" s="9"/>
      <c r="C15" s="9"/>
      <c r="D15" s="9"/>
      <c r="E15" s="9"/>
      <c r="F15" s="9"/>
    </row>
    <row r="16">
      <c r="A16" s="9"/>
      <c r="B16" s="9"/>
      <c r="C16" s="9"/>
      <c r="D16" s="9"/>
      <c r="E16" s="9"/>
      <c r="F16" s="9"/>
    </row>
    <row r="17">
      <c r="A17" s="9"/>
      <c r="B17" s="9"/>
      <c r="C17" s="9"/>
      <c r="D17" s="9"/>
      <c r="E17" s="9"/>
      <c r="F17" s="9"/>
    </row>
    <row r="18">
      <c r="A18" s="9"/>
      <c r="B18" s="9"/>
      <c r="C18" s="9"/>
      <c r="D18" s="9"/>
      <c r="E18" s="9"/>
      <c r="F18" s="9"/>
    </row>
    <row r="19">
      <c r="A19" s="9"/>
      <c r="B19" s="9"/>
      <c r="C19" s="9"/>
      <c r="D19" s="9"/>
      <c r="E19" s="9"/>
      <c r="F19" s="9"/>
    </row>
    <row r="20">
      <c r="A20" s="9"/>
      <c r="B20" s="9"/>
      <c r="C20" s="9"/>
      <c r="D20" s="9"/>
      <c r="E20" s="9"/>
      <c r="F20" s="9"/>
    </row>
    <row r="21" ht="15.75" customHeight="1">
      <c r="A21" s="14"/>
      <c r="B21" s="14"/>
      <c r="C21" s="14"/>
      <c r="D21" s="14"/>
      <c r="E21" s="14"/>
      <c r="F21" s="14"/>
    </row>
    <row r="22" ht="15.75" customHeight="1">
      <c r="A22" s="14"/>
      <c r="B22" s="14"/>
      <c r="C22" s="14"/>
      <c r="D22" s="14"/>
      <c r="E22" s="14"/>
      <c r="F22" s="14"/>
    </row>
    <row r="23" ht="15.75" customHeight="1">
      <c r="A23" s="14"/>
      <c r="B23" s="14"/>
      <c r="C23" s="14"/>
      <c r="D23" s="14"/>
      <c r="E23" s="14"/>
      <c r="F23" s="14"/>
    </row>
    <row r="24" ht="15.75" customHeight="1">
      <c r="A24" s="14"/>
      <c r="B24" s="14"/>
      <c r="C24" s="14"/>
      <c r="D24" s="14"/>
      <c r="E24" s="14"/>
      <c r="F24" s="14"/>
    </row>
    <row r="25" ht="15.75" customHeight="1">
      <c r="A25" s="14"/>
      <c r="B25" s="14"/>
      <c r="C25" s="14"/>
      <c r="D25" s="14"/>
      <c r="E25" s="14"/>
      <c r="F25" s="14"/>
    </row>
    <row r="26" ht="15.75" customHeight="1">
      <c r="A26" s="14"/>
      <c r="B26" s="14"/>
      <c r="C26" s="14"/>
      <c r="D26" s="14"/>
      <c r="E26" s="14"/>
      <c r="F26" s="14"/>
    </row>
    <row r="27" ht="15.75" customHeight="1">
      <c r="A27" s="14"/>
      <c r="B27" s="14"/>
      <c r="C27" s="14"/>
      <c r="D27" s="14"/>
      <c r="E27" s="14"/>
      <c r="F27" s="14"/>
    </row>
    <row r="28" ht="15.75" customHeight="1">
      <c r="A28" s="14"/>
      <c r="B28" s="14"/>
      <c r="C28" s="14"/>
      <c r="D28" s="14"/>
      <c r="E28" s="14"/>
      <c r="F28" s="14"/>
    </row>
    <row r="29" ht="15.75" customHeight="1">
      <c r="A29" s="14"/>
      <c r="B29" s="14"/>
      <c r="C29" s="14"/>
      <c r="D29" s="14"/>
      <c r="E29" s="14"/>
      <c r="F29" s="14"/>
    </row>
    <row r="30" ht="15.75" customHeight="1">
      <c r="A30" s="14"/>
      <c r="B30" s="14"/>
      <c r="C30" s="14"/>
      <c r="D30" s="14"/>
      <c r="E30" s="14"/>
      <c r="F30" s="14"/>
    </row>
    <row r="31" ht="15.75" customHeight="1">
      <c r="A31" s="14"/>
      <c r="B31" s="14"/>
      <c r="C31" s="14"/>
      <c r="D31" s="14"/>
      <c r="E31" s="14"/>
      <c r="F31" s="14"/>
    </row>
    <row r="32" ht="15.75" customHeight="1">
      <c r="A32" s="14"/>
      <c r="B32" s="14"/>
      <c r="C32" s="14"/>
      <c r="D32" s="14"/>
      <c r="E32" s="14"/>
      <c r="F32" s="14"/>
    </row>
    <row r="33" ht="15.75" customHeight="1">
      <c r="A33" s="14"/>
      <c r="B33" s="14"/>
      <c r="C33" s="14"/>
      <c r="D33" s="14"/>
      <c r="E33" s="14"/>
      <c r="F33" s="14"/>
    </row>
    <row r="34" ht="15.75" customHeight="1">
      <c r="A34" s="14"/>
      <c r="B34" s="14"/>
      <c r="C34" s="14"/>
      <c r="D34" s="14"/>
      <c r="E34" s="14"/>
      <c r="F34" s="14"/>
    </row>
    <row r="35" ht="15.75" customHeight="1">
      <c r="A35" s="14"/>
      <c r="B35" s="14"/>
      <c r="C35" s="14"/>
      <c r="D35" s="14"/>
      <c r="E35" s="14"/>
      <c r="F35" s="14"/>
    </row>
    <row r="36" ht="15.75" customHeight="1">
      <c r="A36" s="14"/>
      <c r="B36" s="14"/>
      <c r="C36" s="14"/>
      <c r="D36" s="14"/>
      <c r="E36" s="14"/>
      <c r="F36" s="14"/>
    </row>
    <row r="37" ht="15.75" customHeight="1">
      <c r="A37" s="14"/>
      <c r="B37" s="14"/>
      <c r="C37" s="14"/>
      <c r="D37" s="14"/>
      <c r="E37" s="14"/>
      <c r="F37" s="14"/>
    </row>
    <row r="38" ht="15.75" customHeight="1">
      <c r="A38" s="14"/>
      <c r="B38" s="14"/>
      <c r="C38" s="14"/>
      <c r="D38" s="14"/>
      <c r="E38" s="14"/>
      <c r="F38" s="14"/>
    </row>
    <row r="39" ht="15.75" customHeight="1">
      <c r="A39" s="14"/>
      <c r="B39" s="14"/>
      <c r="C39" s="14"/>
      <c r="D39" s="14"/>
      <c r="E39" s="14"/>
      <c r="F39" s="14"/>
    </row>
    <row r="40" ht="15.75" customHeight="1">
      <c r="A40" s="14"/>
      <c r="B40" s="14"/>
      <c r="C40" s="14"/>
      <c r="D40" s="14"/>
      <c r="E40" s="14"/>
      <c r="F40" s="14"/>
    </row>
    <row r="41" ht="15.75" customHeight="1">
      <c r="A41" s="14"/>
      <c r="B41" s="14"/>
      <c r="C41" s="14"/>
      <c r="D41" s="14"/>
      <c r="E41" s="14"/>
      <c r="F41" s="14"/>
    </row>
    <row r="42" ht="15.75" customHeight="1">
      <c r="A42" s="14"/>
      <c r="B42" s="14"/>
      <c r="C42" s="14"/>
      <c r="D42" s="14"/>
      <c r="E42" s="14"/>
      <c r="F42" s="14"/>
    </row>
    <row r="43" ht="15.75" customHeight="1">
      <c r="A43" s="14"/>
      <c r="B43" s="14"/>
      <c r="C43" s="14"/>
      <c r="D43" s="14"/>
      <c r="E43" s="14"/>
      <c r="F43" s="14"/>
    </row>
    <row r="44" ht="15.75" customHeight="1">
      <c r="A44" s="14"/>
      <c r="B44" s="14"/>
      <c r="C44" s="14"/>
      <c r="D44" s="14"/>
      <c r="E44" s="14"/>
      <c r="F44" s="14"/>
    </row>
    <row r="45" ht="15.75" customHeight="1">
      <c r="A45" s="14"/>
      <c r="B45" s="14"/>
      <c r="C45" s="14"/>
      <c r="D45" s="14"/>
      <c r="E45" s="14"/>
      <c r="F45" s="14"/>
    </row>
    <row r="46" ht="15.75" customHeight="1">
      <c r="A46" s="14"/>
      <c r="B46" s="14"/>
      <c r="C46" s="14"/>
      <c r="D46" s="14"/>
      <c r="E46" s="14"/>
      <c r="F46" s="14"/>
    </row>
    <row r="47" ht="15.75" customHeight="1">
      <c r="A47" s="14"/>
      <c r="B47" s="14"/>
      <c r="C47" s="14"/>
      <c r="D47" s="14"/>
      <c r="E47" s="14"/>
      <c r="F47" s="14"/>
    </row>
    <row r="48" ht="15.75" customHeight="1">
      <c r="A48" s="14"/>
      <c r="B48" s="14"/>
      <c r="C48" s="14"/>
      <c r="D48" s="14"/>
      <c r="E48" s="14"/>
      <c r="F48" s="14"/>
    </row>
    <row r="49" ht="15.75" customHeight="1">
      <c r="A49" s="14"/>
      <c r="B49" s="14"/>
      <c r="C49" s="14"/>
      <c r="D49" s="14"/>
      <c r="E49" s="14"/>
      <c r="F49" s="14"/>
    </row>
    <row r="50" ht="15.75" customHeight="1">
      <c r="A50" s="14"/>
      <c r="B50" s="14"/>
      <c r="C50" s="14"/>
      <c r="D50" s="14"/>
      <c r="E50" s="14"/>
      <c r="F50" s="14"/>
    </row>
    <row r="51" ht="15.75" customHeight="1">
      <c r="A51" s="14"/>
      <c r="B51" s="14"/>
      <c r="C51" s="14"/>
      <c r="D51" s="14"/>
      <c r="E51" s="14"/>
      <c r="F51" s="14"/>
    </row>
    <row r="52" ht="15.75" customHeight="1">
      <c r="A52" s="14"/>
      <c r="B52" s="14"/>
      <c r="C52" s="14"/>
      <c r="D52" s="14"/>
      <c r="E52" s="14"/>
      <c r="F52" s="14"/>
    </row>
    <row r="53" ht="15.75" customHeight="1">
      <c r="A53" s="14"/>
      <c r="B53" s="14"/>
      <c r="C53" s="14"/>
      <c r="D53" s="14"/>
      <c r="E53" s="14"/>
      <c r="F53" s="14"/>
    </row>
    <row r="54" ht="15.75" customHeight="1">
      <c r="A54" s="14"/>
      <c r="B54" s="14"/>
      <c r="C54" s="14"/>
      <c r="D54" s="14"/>
      <c r="E54" s="14"/>
      <c r="F54" s="14"/>
    </row>
    <row r="55" ht="15.75" customHeight="1">
      <c r="A55" s="14"/>
      <c r="B55" s="14"/>
      <c r="C55" s="14"/>
      <c r="D55" s="14"/>
      <c r="E55" s="14"/>
      <c r="F55" s="14"/>
    </row>
    <row r="56" ht="15.75" customHeight="1">
      <c r="A56" s="14"/>
      <c r="B56" s="14"/>
      <c r="C56" s="14"/>
      <c r="D56" s="14"/>
      <c r="E56" s="14"/>
      <c r="F56" s="14"/>
    </row>
    <row r="57" ht="15.75" customHeight="1">
      <c r="A57" s="14"/>
      <c r="B57" s="14"/>
      <c r="C57" s="14"/>
      <c r="D57" s="14"/>
      <c r="E57" s="14"/>
      <c r="F57" s="14"/>
    </row>
    <row r="58" ht="15.75" customHeight="1">
      <c r="A58" s="14"/>
      <c r="B58" s="14"/>
      <c r="C58" s="14"/>
      <c r="D58" s="14"/>
      <c r="E58" s="14"/>
      <c r="F58" s="14"/>
    </row>
    <row r="59" ht="15.75" customHeight="1">
      <c r="A59" s="14"/>
      <c r="B59" s="14"/>
      <c r="C59" s="14"/>
      <c r="D59" s="14"/>
      <c r="E59" s="14"/>
      <c r="F59" s="14"/>
    </row>
    <row r="60" ht="15.75" customHeight="1">
      <c r="A60" s="14"/>
      <c r="B60" s="14"/>
      <c r="C60" s="14"/>
      <c r="D60" s="14"/>
      <c r="E60" s="14"/>
      <c r="F60" s="14"/>
    </row>
    <row r="61" ht="15.75" customHeight="1">
      <c r="A61" s="14"/>
      <c r="B61" s="14"/>
      <c r="C61" s="14"/>
      <c r="D61" s="14"/>
      <c r="E61" s="14"/>
      <c r="F61" s="14"/>
    </row>
    <row r="62" ht="15.75" customHeight="1">
      <c r="A62" s="14"/>
      <c r="B62" s="14"/>
      <c r="C62" s="14"/>
      <c r="D62" s="14"/>
      <c r="E62" s="14"/>
      <c r="F62" s="14"/>
    </row>
    <row r="63" ht="15.75" customHeight="1">
      <c r="A63" s="14"/>
      <c r="B63" s="14"/>
      <c r="C63" s="14"/>
      <c r="D63" s="14"/>
      <c r="E63" s="14"/>
      <c r="F63" s="14"/>
    </row>
    <row r="64" ht="15.75" customHeight="1">
      <c r="A64" s="14"/>
      <c r="B64" s="14"/>
      <c r="C64" s="14"/>
      <c r="D64" s="14"/>
      <c r="E64" s="14"/>
      <c r="F64" s="14"/>
    </row>
    <row r="65" ht="15.75" customHeight="1">
      <c r="A65" s="14"/>
      <c r="B65" s="14"/>
      <c r="C65" s="14"/>
      <c r="D65" s="14"/>
      <c r="E65" s="14"/>
      <c r="F65" s="14"/>
    </row>
    <row r="66" ht="15.75" customHeight="1">
      <c r="A66" s="14"/>
      <c r="B66" s="14"/>
      <c r="C66" s="14"/>
      <c r="D66" s="14"/>
      <c r="E66" s="14"/>
      <c r="F66" s="14"/>
    </row>
    <row r="67" ht="15.75" customHeight="1">
      <c r="A67" s="14"/>
      <c r="B67" s="14"/>
      <c r="C67" s="14"/>
      <c r="D67" s="14"/>
      <c r="E67" s="14"/>
      <c r="F67" s="14"/>
    </row>
    <row r="68" ht="15.75" customHeight="1">
      <c r="A68" s="14"/>
      <c r="B68" s="14"/>
      <c r="C68" s="14"/>
      <c r="D68" s="14"/>
      <c r="E68" s="14"/>
      <c r="F68" s="14"/>
    </row>
    <row r="69" ht="15.75" customHeight="1">
      <c r="A69" s="14"/>
      <c r="B69" s="14"/>
      <c r="C69" s="14"/>
      <c r="D69" s="14"/>
      <c r="E69" s="14"/>
      <c r="F69" s="14"/>
    </row>
    <row r="70" ht="15.75" customHeight="1">
      <c r="A70" s="14"/>
      <c r="B70" s="14"/>
      <c r="C70" s="14"/>
      <c r="D70" s="14"/>
      <c r="E70" s="14"/>
      <c r="F70" s="14"/>
    </row>
    <row r="71" ht="15.75" customHeight="1">
      <c r="A71" s="14"/>
      <c r="B71" s="14"/>
      <c r="C71" s="14"/>
      <c r="D71" s="14"/>
      <c r="E71" s="14"/>
      <c r="F71" s="14"/>
    </row>
    <row r="72" ht="15.75" customHeight="1">
      <c r="A72" s="14"/>
      <c r="B72" s="14"/>
      <c r="C72" s="14"/>
      <c r="D72" s="14"/>
      <c r="E72" s="14"/>
      <c r="F72" s="14"/>
    </row>
    <row r="73" ht="15.75" customHeight="1">
      <c r="A73" s="14"/>
      <c r="B73" s="14"/>
      <c r="C73" s="14"/>
      <c r="D73" s="14"/>
      <c r="E73" s="14"/>
      <c r="F73" s="14"/>
    </row>
    <row r="74" ht="15.75" customHeight="1">
      <c r="A74" s="14"/>
      <c r="B74" s="14"/>
      <c r="C74" s="14"/>
      <c r="D74" s="14"/>
      <c r="E74" s="14"/>
      <c r="F74" s="14"/>
    </row>
    <row r="75" ht="15.75" customHeight="1">
      <c r="A75" s="14"/>
      <c r="B75" s="14"/>
      <c r="C75" s="14"/>
      <c r="D75" s="14"/>
      <c r="E75" s="14"/>
      <c r="F75" s="14"/>
    </row>
    <row r="76" ht="15.75" customHeight="1">
      <c r="A76" s="14"/>
      <c r="B76" s="14"/>
      <c r="C76" s="14"/>
      <c r="D76" s="14"/>
      <c r="E76" s="14"/>
      <c r="F76" s="14"/>
    </row>
    <row r="77" ht="15.75" customHeight="1">
      <c r="A77" s="14"/>
      <c r="B77" s="14"/>
      <c r="C77" s="14"/>
      <c r="D77" s="14"/>
      <c r="E77" s="14"/>
      <c r="F77" s="14"/>
    </row>
    <row r="78" ht="15.75" customHeight="1">
      <c r="A78" s="14"/>
      <c r="B78" s="14"/>
      <c r="C78" s="14"/>
      <c r="D78" s="14"/>
      <c r="E78" s="14"/>
      <c r="F78" s="14"/>
    </row>
    <row r="79" ht="15.75" customHeight="1">
      <c r="A79" s="14"/>
      <c r="B79" s="14"/>
      <c r="C79" s="14"/>
      <c r="D79" s="14"/>
      <c r="E79" s="14"/>
      <c r="F79" s="14"/>
    </row>
    <row r="80" ht="15.75" customHeight="1">
      <c r="A80" s="14"/>
      <c r="B80" s="14"/>
      <c r="C80" s="14"/>
      <c r="D80" s="14"/>
      <c r="E80" s="14"/>
      <c r="F80" s="14"/>
    </row>
    <row r="81" ht="15.75" customHeight="1">
      <c r="A81" s="14"/>
      <c r="B81" s="14"/>
      <c r="C81" s="14"/>
      <c r="D81" s="14"/>
      <c r="E81" s="14"/>
      <c r="F81" s="14"/>
    </row>
    <row r="82" ht="15.75" customHeight="1">
      <c r="A82" s="14"/>
      <c r="B82" s="14"/>
      <c r="C82" s="14"/>
      <c r="D82" s="14"/>
      <c r="E82" s="14"/>
      <c r="F82" s="14"/>
    </row>
    <row r="83" ht="15.75" customHeight="1">
      <c r="A83" s="14"/>
      <c r="B83" s="14"/>
      <c r="C83" s="14"/>
      <c r="D83" s="14"/>
      <c r="E83" s="14"/>
      <c r="F83" s="14"/>
    </row>
    <row r="84" ht="15.75" customHeight="1">
      <c r="A84" s="14"/>
      <c r="B84" s="14"/>
      <c r="C84" s="14"/>
      <c r="D84" s="14"/>
      <c r="E84" s="14"/>
      <c r="F84" s="14"/>
    </row>
    <row r="85" ht="15.75" customHeight="1">
      <c r="A85" s="14"/>
      <c r="B85" s="14"/>
      <c r="C85" s="14"/>
      <c r="D85" s="14"/>
      <c r="E85" s="14"/>
      <c r="F85" s="14"/>
    </row>
    <row r="86" ht="15.75" customHeight="1">
      <c r="A86" s="14"/>
      <c r="B86" s="14"/>
      <c r="C86" s="14"/>
      <c r="D86" s="14"/>
      <c r="E86" s="14"/>
      <c r="F86" s="14"/>
    </row>
    <row r="87" ht="15.75" customHeight="1">
      <c r="A87" s="14"/>
      <c r="B87" s="14"/>
      <c r="C87" s="14"/>
      <c r="D87" s="14"/>
      <c r="E87" s="14"/>
      <c r="F87" s="14"/>
    </row>
    <row r="88" ht="15.75" customHeight="1">
      <c r="A88" s="14"/>
      <c r="B88" s="14"/>
      <c r="C88" s="14"/>
      <c r="D88" s="14"/>
      <c r="E88" s="14"/>
      <c r="F88" s="14"/>
    </row>
    <row r="89" ht="15.75" customHeight="1">
      <c r="A89" s="14"/>
      <c r="B89" s="14"/>
      <c r="C89" s="14"/>
      <c r="D89" s="14"/>
      <c r="E89" s="14"/>
      <c r="F89" s="14"/>
    </row>
    <row r="90" ht="15.75" customHeight="1">
      <c r="A90" s="14"/>
      <c r="B90" s="14"/>
      <c r="C90" s="14"/>
      <c r="D90" s="14"/>
      <c r="E90" s="14"/>
      <c r="F90" s="14"/>
    </row>
    <row r="91" ht="15.75" customHeight="1">
      <c r="A91" s="14"/>
      <c r="B91" s="14"/>
      <c r="C91" s="14"/>
      <c r="D91" s="14"/>
      <c r="E91" s="14"/>
      <c r="F91" s="14"/>
    </row>
    <row r="92" ht="15.75" customHeight="1">
      <c r="A92" s="14"/>
      <c r="B92" s="14"/>
      <c r="C92" s="14"/>
      <c r="D92" s="14"/>
      <c r="E92" s="14"/>
      <c r="F92" s="14"/>
    </row>
    <row r="93" ht="15.75" customHeight="1">
      <c r="A93" s="14"/>
      <c r="B93" s="14"/>
      <c r="C93" s="14"/>
      <c r="D93" s="14"/>
      <c r="E93" s="14"/>
      <c r="F93" s="14"/>
    </row>
    <row r="94" ht="15.75" customHeight="1">
      <c r="A94" s="14"/>
      <c r="B94" s="14"/>
      <c r="C94" s="14"/>
      <c r="D94" s="14"/>
      <c r="E94" s="14"/>
      <c r="F94" s="14"/>
    </row>
    <row r="95" ht="15.75" customHeight="1">
      <c r="A95" s="14"/>
      <c r="B95" s="14"/>
      <c r="C95" s="14"/>
      <c r="D95" s="14"/>
      <c r="E95" s="14"/>
      <c r="F95" s="14"/>
    </row>
    <row r="96" ht="15.75" customHeight="1">
      <c r="A96" s="14"/>
      <c r="B96" s="14"/>
      <c r="C96" s="14"/>
      <c r="D96" s="14"/>
      <c r="E96" s="14"/>
      <c r="F96" s="14"/>
    </row>
    <row r="97" ht="15.75" customHeight="1">
      <c r="A97" s="14"/>
      <c r="B97" s="14"/>
      <c r="C97" s="14"/>
      <c r="D97" s="14"/>
      <c r="E97" s="14"/>
      <c r="F97" s="14"/>
    </row>
    <row r="98" ht="15.75" customHeight="1">
      <c r="A98" s="14"/>
      <c r="B98" s="14"/>
      <c r="C98" s="14"/>
      <c r="D98" s="14"/>
      <c r="E98" s="14"/>
      <c r="F98" s="14"/>
    </row>
    <row r="99" ht="15.75" customHeight="1">
      <c r="A99" s="14"/>
      <c r="B99" s="14"/>
      <c r="C99" s="14"/>
      <c r="D99" s="14"/>
      <c r="E99" s="14"/>
      <c r="F99" s="14"/>
    </row>
    <row r="100" ht="15.75" customHeight="1">
      <c r="A100" s="14"/>
      <c r="B100" s="14"/>
      <c r="C100" s="14"/>
      <c r="D100" s="14"/>
      <c r="E100" s="14"/>
      <c r="F100" s="14"/>
    </row>
    <row r="101" ht="15.75" customHeight="1">
      <c r="A101" s="14"/>
      <c r="B101" s="14"/>
      <c r="C101" s="14"/>
      <c r="D101" s="14"/>
      <c r="E101" s="14"/>
      <c r="F101" s="14"/>
    </row>
    <row r="102" ht="15.75" customHeight="1">
      <c r="A102" s="14"/>
      <c r="B102" s="14"/>
      <c r="C102" s="14"/>
      <c r="D102" s="14"/>
      <c r="E102" s="14"/>
      <c r="F102" s="14"/>
    </row>
    <row r="103" ht="15.75" customHeight="1">
      <c r="A103" s="14"/>
      <c r="B103" s="14"/>
      <c r="C103" s="14"/>
      <c r="D103" s="14"/>
      <c r="E103" s="14"/>
      <c r="F103" s="14"/>
    </row>
    <row r="104" ht="15.75" customHeight="1">
      <c r="A104" s="14"/>
      <c r="B104" s="14"/>
      <c r="C104" s="14"/>
      <c r="D104" s="14"/>
      <c r="E104" s="14"/>
      <c r="F104" s="14"/>
    </row>
    <row r="105" ht="15.75" customHeight="1">
      <c r="A105" s="14"/>
      <c r="B105" s="14"/>
      <c r="C105" s="14"/>
      <c r="D105" s="14"/>
      <c r="E105" s="14"/>
      <c r="F105" s="14"/>
    </row>
    <row r="106" ht="15.75" customHeight="1">
      <c r="A106" s="14"/>
      <c r="B106" s="14"/>
      <c r="C106" s="14"/>
      <c r="D106" s="14"/>
      <c r="E106" s="14"/>
      <c r="F106" s="14"/>
    </row>
    <row r="107" ht="15.75" customHeight="1">
      <c r="A107" s="14"/>
      <c r="B107" s="14"/>
      <c r="C107" s="14"/>
      <c r="D107" s="14"/>
      <c r="E107" s="14"/>
      <c r="F107" s="14"/>
    </row>
    <row r="108" ht="15.75" customHeight="1">
      <c r="A108" s="14"/>
      <c r="B108" s="14"/>
      <c r="C108" s="14"/>
      <c r="D108" s="14"/>
      <c r="E108" s="14"/>
      <c r="F108" s="14"/>
    </row>
    <row r="109" ht="15.75" customHeight="1">
      <c r="A109" s="14"/>
      <c r="B109" s="14"/>
      <c r="C109" s="14"/>
      <c r="D109" s="14"/>
      <c r="E109" s="14"/>
      <c r="F109" s="14"/>
    </row>
    <row r="110" ht="15.75" customHeight="1">
      <c r="A110" s="14"/>
      <c r="B110" s="14"/>
      <c r="C110" s="14"/>
      <c r="D110" s="14"/>
      <c r="E110" s="14"/>
      <c r="F110" s="14"/>
    </row>
    <row r="111" ht="15.75" customHeight="1">
      <c r="A111" s="14"/>
      <c r="B111" s="14"/>
      <c r="C111" s="14"/>
      <c r="D111" s="14"/>
      <c r="E111" s="14"/>
      <c r="F111" s="14"/>
    </row>
    <row r="112" ht="15.75" customHeight="1">
      <c r="A112" s="14"/>
      <c r="B112" s="14"/>
      <c r="C112" s="14"/>
      <c r="D112" s="14"/>
      <c r="E112" s="14"/>
      <c r="F112" s="14"/>
    </row>
    <row r="113" ht="15.75" customHeight="1">
      <c r="A113" s="14"/>
      <c r="B113" s="14"/>
      <c r="C113" s="14"/>
      <c r="D113" s="14"/>
      <c r="E113" s="14"/>
      <c r="F113" s="14"/>
    </row>
    <row r="114" ht="15.75" customHeight="1">
      <c r="A114" s="14"/>
      <c r="B114" s="14"/>
      <c r="C114" s="14"/>
      <c r="D114" s="14"/>
      <c r="E114" s="14"/>
      <c r="F114" s="14"/>
    </row>
    <row r="115" ht="15.75" customHeight="1">
      <c r="A115" s="14"/>
      <c r="B115" s="14"/>
      <c r="C115" s="14"/>
      <c r="D115" s="14"/>
      <c r="E115" s="14"/>
      <c r="F115" s="14"/>
    </row>
    <row r="116" ht="15.75" customHeight="1">
      <c r="A116" s="14"/>
      <c r="B116" s="14"/>
      <c r="C116" s="14"/>
      <c r="D116" s="14"/>
      <c r="E116" s="14"/>
      <c r="F116" s="14"/>
    </row>
    <row r="117" ht="15.75" customHeight="1">
      <c r="A117" s="14"/>
      <c r="B117" s="14"/>
      <c r="C117" s="14"/>
      <c r="D117" s="14"/>
      <c r="E117" s="14"/>
      <c r="F117" s="14"/>
    </row>
    <row r="118" ht="15.75" customHeight="1">
      <c r="A118" s="14"/>
      <c r="B118" s="14"/>
      <c r="C118" s="14"/>
      <c r="D118" s="14"/>
      <c r="E118" s="14"/>
      <c r="F118" s="14"/>
    </row>
    <row r="119" ht="15.75" customHeight="1">
      <c r="A119" s="14"/>
      <c r="B119" s="14"/>
      <c r="C119" s="14"/>
      <c r="D119" s="14"/>
      <c r="E119" s="14"/>
      <c r="F119" s="14"/>
    </row>
    <row r="120" ht="15.75" customHeight="1">
      <c r="A120" s="14"/>
      <c r="B120" s="14"/>
      <c r="C120" s="14"/>
      <c r="D120" s="14"/>
      <c r="E120" s="14"/>
      <c r="F120" s="14"/>
    </row>
    <row r="121" ht="15.75" customHeight="1">
      <c r="A121" s="14"/>
      <c r="B121" s="14"/>
      <c r="C121" s="14"/>
      <c r="D121" s="14"/>
      <c r="E121" s="14"/>
      <c r="F121" s="14"/>
    </row>
    <row r="122" ht="15.75" customHeight="1">
      <c r="A122" s="14"/>
      <c r="B122" s="14"/>
      <c r="C122" s="14"/>
      <c r="D122" s="14"/>
      <c r="E122" s="14"/>
      <c r="F122" s="14"/>
    </row>
    <row r="123" ht="15.75" customHeight="1">
      <c r="A123" s="14"/>
      <c r="B123" s="14"/>
      <c r="C123" s="14"/>
      <c r="D123" s="14"/>
      <c r="E123" s="14"/>
      <c r="F123" s="14"/>
    </row>
    <row r="124" ht="15.75" customHeight="1">
      <c r="A124" s="14"/>
      <c r="B124" s="14"/>
      <c r="C124" s="14"/>
      <c r="D124" s="14"/>
      <c r="E124" s="14"/>
      <c r="F124" s="14"/>
    </row>
    <row r="125" ht="15.75" customHeight="1">
      <c r="A125" s="14"/>
      <c r="B125" s="14"/>
      <c r="C125" s="14"/>
      <c r="D125" s="14"/>
      <c r="E125" s="14"/>
      <c r="F125" s="14"/>
    </row>
    <row r="126" ht="15.75" customHeight="1">
      <c r="A126" s="14"/>
      <c r="B126" s="14"/>
      <c r="C126" s="14"/>
      <c r="D126" s="14"/>
      <c r="E126" s="14"/>
      <c r="F126" s="14"/>
    </row>
    <row r="127" ht="15.75" customHeight="1">
      <c r="A127" s="14"/>
      <c r="B127" s="14"/>
      <c r="C127" s="14"/>
      <c r="D127" s="14"/>
      <c r="E127" s="14"/>
      <c r="F127" s="14"/>
    </row>
    <row r="128" ht="15.75" customHeight="1">
      <c r="A128" s="14"/>
      <c r="B128" s="14"/>
      <c r="C128" s="14"/>
      <c r="D128" s="14"/>
      <c r="E128" s="14"/>
      <c r="F128" s="14"/>
    </row>
    <row r="129" ht="15.75" customHeight="1">
      <c r="A129" s="14"/>
      <c r="B129" s="14"/>
      <c r="C129" s="14"/>
      <c r="D129" s="14"/>
      <c r="E129" s="14"/>
      <c r="F129" s="14"/>
    </row>
    <row r="130" ht="15.75" customHeight="1">
      <c r="A130" s="14"/>
      <c r="B130" s="14"/>
      <c r="C130" s="14"/>
      <c r="D130" s="14"/>
      <c r="E130" s="14"/>
      <c r="F130" s="14"/>
    </row>
    <row r="131" ht="15.75" customHeight="1">
      <c r="A131" s="14"/>
      <c r="B131" s="14"/>
      <c r="C131" s="14"/>
      <c r="D131" s="14"/>
      <c r="E131" s="14"/>
      <c r="F131" s="14"/>
    </row>
    <row r="132" ht="15.75" customHeight="1">
      <c r="A132" s="14"/>
      <c r="B132" s="14"/>
      <c r="C132" s="14"/>
      <c r="D132" s="14"/>
      <c r="E132" s="14"/>
      <c r="F132" s="14"/>
    </row>
    <row r="133" ht="15.75" customHeight="1">
      <c r="A133" s="14"/>
      <c r="B133" s="14"/>
      <c r="C133" s="14"/>
      <c r="D133" s="14"/>
      <c r="E133" s="14"/>
      <c r="F133" s="14"/>
    </row>
    <row r="134" ht="15.75" customHeight="1">
      <c r="A134" s="14"/>
      <c r="B134" s="14"/>
      <c r="C134" s="14"/>
      <c r="D134" s="14"/>
      <c r="E134" s="14"/>
      <c r="F134" s="14"/>
    </row>
    <row r="135" ht="15.75" customHeight="1">
      <c r="A135" s="14"/>
      <c r="B135" s="14"/>
      <c r="C135" s="14"/>
      <c r="D135" s="14"/>
      <c r="E135" s="14"/>
      <c r="F135" s="14"/>
    </row>
    <row r="136" ht="15.75" customHeight="1">
      <c r="A136" s="14"/>
      <c r="B136" s="14"/>
      <c r="C136" s="14"/>
      <c r="D136" s="14"/>
      <c r="E136" s="14"/>
      <c r="F136" s="14"/>
    </row>
    <row r="137" ht="15.75" customHeight="1">
      <c r="A137" s="14"/>
      <c r="B137" s="14"/>
      <c r="C137" s="14"/>
      <c r="D137" s="14"/>
      <c r="E137" s="14"/>
      <c r="F137" s="14"/>
    </row>
    <row r="138" ht="15.75" customHeight="1">
      <c r="A138" s="14"/>
      <c r="B138" s="14"/>
      <c r="C138" s="14"/>
      <c r="D138" s="14"/>
      <c r="E138" s="14"/>
      <c r="F138" s="14"/>
    </row>
    <row r="139" ht="15.75" customHeight="1">
      <c r="A139" s="14"/>
      <c r="B139" s="14"/>
      <c r="C139" s="14"/>
      <c r="D139" s="14"/>
      <c r="E139" s="14"/>
      <c r="F139" s="14"/>
    </row>
    <row r="140" ht="15.75" customHeight="1">
      <c r="A140" s="14"/>
      <c r="B140" s="14"/>
      <c r="C140" s="14"/>
      <c r="D140" s="14"/>
      <c r="E140" s="14"/>
      <c r="F140" s="14"/>
    </row>
    <row r="141" ht="15.75" customHeight="1">
      <c r="A141" s="14"/>
      <c r="B141" s="14"/>
      <c r="C141" s="14"/>
      <c r="D141" s="14"/>
      <c r="E141" s="14"/>
      <c r="F141" s="14"/>
    </row>
    <row r="142" ht="15.75" customHeight="1">
      <c r="A142" s="14"/>
      <c r="B142" s="14"/>
      <c r="C142" s="14"/>
      <c r="D142" s="14"/>
      <c r="E142" s="14"/>
      <c r="F142" s="14"/>
    </row>
    <row r="143" ht="15.75" customHeight="1">
      <c r="A143" s="14"/>
      <c r="B143" s="14"/>
      <c r="C143" s="14"/>
      <c r="D143" s="14"/>
      <c r="E143" s="14"/>
      <c r="F143" s="14"/>
    </row>
    <row r="144" ht="15.75" customHeight="1">
      <c r="A144" s="14"/>
      <c r="B144" s="14"/>
      <c r="C144" s="14"/>
      <c r="D144" s="14"/>
      <c r="E144" s="14"/>
      <c r="F144" s="14"/>
    </row>
    <row r="145" ht="15.75" customHeight="1">
      <c r="A145" s="14"/>
      <c r="B145" s="14"/>
      <c r="C145" s="14"/>
      <c r="D145" s="14"/>
      <c r="E145" s="14"/>
      <c r="F145" s="14"/>
    </row>
    <row r="146" ht="15.75" customHeight="1">
      <c r="A146" s="14"/>
      <c r="B146" s="14"/>
      <c r="C146" s="14"/>
      <c r="D146" s="14"/>
      <c r="E146" s="14"/>
      <c r="F146" s="14"/>
    </row>
    <row r="147" ht="15.75" customHeight="1">
      <c r="A147" s="14"/>
      <c r="B147" s="14"/>
      <c r="C147" s="14"/>
      <c r="D147" s="14"/>
      <c r="E147" s="14"/>
      <c r="F147" s="14"/>
    </row>
    <row r="148" ht="15.75" customHeight="1">
      <c r="A148" s="14"/>
      <c r="B148" s="14"/>
      <c r="C148" s="14"/>
      <c r="D148" s="14"/>
      <c r="E148" s="14"/>
      <c r="F148" s="14"/>
    </row>
    <row r="149" ht="15.75" customHeight="1">
      <c r="A149" s="14"/>
      <c r="B149" s="14"/>
      <c r="C149" s="14"/>
      <c r="D149" s="14"/>
      <c r="E149" s="14"/>
      <c r="F149" s="14"/>
    </row>
    <row r="150" ht="15.75" customHeight="1">
      <c r="A150" s="14"/>
      <c r="B150" s="14"/>
      <c r="C150" s="14"/>
      <c r="D150" s="14"/>
      <c r="E150" s="14"/>
      <c r="F150" s="14"/>
    </row>
    <row r="151" ht="15.75" customHeight="1">
      <c r="A151" s="14"/>
      <c r="B151" s="14"/>
      <c r="C151" s="14"/>
      <c r="D151" s="14"/>
      <c r="E151" s="14"/>
      <c r="F151" s="14"/>
    </row>
    <row r="152" ht="15.75" customHeight="1">
      <c r="A152" s="14"/>
      <c r="B152" s="14"/>
      <c r="C152" s="14"/>
      <c r="D152" s="14"/>
      <c r="E152" s="14"/>
      <c r="F152" s="14"/>
    </row>
    <row r="153" ht="15.75" customHeight="1">
      <c r="A153" s="14"/>
      <c r="B153" s="14"/>
      <c r="C153" s="14"/>
      <c r="D153" s="14"/>
      <c r="E153" s="14"/>
      <c r="F153" s="14"/>
    </row>
    <row r="154" ht="15.75" customHeight="1">
      <c r="A154" s="14"/>
      <c r="B154" s="14"/>
      <c r="C154" s="14"/>
      <c r="D154" s="14"/>
      <c r="E154" s="14"/>
      <c r="F154" s="14"/>
    </row>
    <row r="155" ht="15.75" customHeight="1">
      <c r="A155" s="14"/>
      <c r="B155" s="14"/>
      <c r="C155" s="14"/>
      <c r="D155" s="14"/>
      <c r="E155" s="14"/>
      <c r="F155" s="14"/>
    </row>
    <row r="156" ht="15.75" customHeight="1">
      <c r="A156" s="14"/>
      <c r="B156" s="14"/>
      <c r="C156" s="14"/>
      <c r="D156" s="14"/>
      <c r="E156" s="14"/>
      <c r="F156" s="14"/>
    </row>
    <row r="157" ht="15.75" customHeight="1">
      <c r="A157" s="14"/>
      <c r="B157" s="14"/>
      <c r="C157" s="14"/>
      <c r="D157" s="14"/>
      <c r="E157" s="14"/>
      <c r="F157" s="14"/>
    </row>
    <row r="158" ht="15.75" customHeight="1">
      <c r="A158" s="14"/>
      <c r="B158" s="14"/>
      <c r="C158" s="14"/>
      <c r="D158" s="14"/>
      <c r="E158" s="14"/>
      <c r="F158" s="14"/>
    </row>
    <row r="159" ht="15.75" customHeight="1">
      <c r="A159" s="14"/>
      <c r="B159" s="14"/>
      <c r="C159" s="14"/>
      <c r="D159" s="14"/>
      <c r="E159" s="14"/>
      <c r="F159" s="14"/>
    </row>
    <row r="160" ht="15.75" customHeight="1">
      <c r="A160" s="14"/>
      <c r="B160" s="14"/>
      <c r="C160" s="14"/>
      <c r="D160" s="14"/>
      <c r="E160" s="14"/>
      <c r="F160" s="14"/>
    </row>
    <row r="161" ht="15.75" customHeight="1">
      <c r="A161" s="14"/>
      <c r="B161" s="14"/>
      <c r="C161" s="14"/>
      <c r="D161" s="14"/>
      <c r="E161" s="14"/>
      <c r="F161" s="14"/>
    </row>
    <row r="162" ht="15.75" customHeight="1">
      <c r="A162" s="14"/>
      <c r="B162" s="14"/>
      <c r="C162" s="14"/>
      <c r="D162" s="14"/>
      <c r="E162" s="14"/>
      <c r="F162" s="14"/>
    </row>
    <row r="163" ht="15.75" customHeight="1">
      <c r="A163" s="14"/>
      <c r="B163" s="14"/>
      <c r="C163" s="14"/>
      <c r="D163" s="14"/>
      <c r="E163" s="14"/>
      <c r="F163" s="14"/>
    </row>
    <row r="164" ht="15.75" customHeight="1">
      <c r="A164" s="14"/>
      <c r="B164" s="14"/>
      <c r="C164" s="14"/>
      <c r="D164" s="14"/>
      <c r="E164" s="14"/>
      <c r="F164" s="14"/>
    </row>
    <row r="165" ht="15.75" customHeight="1">
      <c r="A165" s="14"/>
      <c r="B165" s="14"/>
      <c r="C165" s="14"/>
      <c r="D165" s="14"/>
      <c r="E165" s="14"/>
      <c r="F165" s="14"/>
    </row>
    <row r="166" ht="15.75" customHeight="1">
      <c r="A166" s="14"/>
      <c r="B166" s="14"/>
      <c r="C166" s="14"/>
      <c r="D166" s="14"/>
      <c r="E166" s="14"/>
      <c r="F166" s="14"/>
    </row>
    <row r="167" ht="15.75" customHeight="1">
      <c r="A167" s="14"/>
      <c r="B167" s="14"/>
      <c r="C167" s="14"/>
      <c r="D167" s="14"/>
      <c r="E167" s="14"/>
      <c r="F167" s="14"/>
    </row>
    <row r="168" ht="15.75" customHeight="1">
      <c r="A168" s="14"/>
      <c r="B168" s="14"/>
      <c r="C168" s="14"/>
      <c r="D168" s="14"/>
      <c r="E168" s="14"/>
      <c r="F168" s="14"/>
    </row>
    <row r="169" ht="15.75" customHeight="1">
      <c r="A169" s="14"/>
      <c r="B169" s="14"/>
      <c r="C169" s="14"/>
      <c r="D169" s="14"/>
      <c r="E169" s="14"/>
      <c r="F169" s="14"/>
    </row>
    <row r="170" ht="15.75" customHeight="1">
      <c r="A170" s="14"/>
      <c r="B170" s="14"/>
      <c r="C170" s="14"/>
      <c r="D170" s="14"/>
      <c r="E170" s="14"/>
      <c r="F170" s="14"/>
    </row>
    <row r="171" ht="15.75" customHeight="1">
      <c r="A171" s="14"/>
      <c r="B171" s="14"/>
      <c r="C171" s="14"/>
      <c r="D171" s="14"/>
      <c r="E171" s="14"/>
      <c r="F171" s="14"/>
    </row>
    <row r="172" ht="15.75" customHeight="1">
      <c r="A172" s="14"/>
      <c r="B172" s="14"/>
      <c r="C172" s="14"/>
      <c r="D172" s="14"/>
      <c r="E172" s="14"/>
      <c r="F172" s="14"/>
    </row>
    <row r="173" ht="15.75" customHeight="1">
      <c r="A173" s="14"/>
      <c r="B173" s="14"/>
      <c r="C173" s="14"/>
      <c r="D173" s="14"/>
      <c r="E173" s="14"/>
      <c r="F173" s="14"/>
    </row>
    <row r="174" ht="15.75" customHeight="1">
      <c r="A174" s="14"/>
      <c r="B174" s="14"/>
      <c r="C174" s="14"/>
      <c r="D174" s="14"/>
      <c r="E174" s="14"/>
      <c r="F174" s="14"/>
    </row>
    <row r="175" ht="15.75" customHeight="1">
      <c r="A175" s="14"/>
      <c r="B175" s="14"/>
      <c r="C175" s="14"/>
      <c r="D175" s="14"/>
      <c r="E175" s="14"/>
      <c r="F175" s="14"/>
    </row>
    <row r="176" ht="15.75" customHeight="1">
      <c r="A176" s="14"/>
      <c r="B176" s="14"/>
      <c r="C176" s="14"/>
      <c r="D176" s="14"/>
      <c r="E176" s="14"/>
      <c r="F176" s="14"/>
    </row>
    <row r="177" ht="15.75" customHeight="1">
      <c r="A177" s="14"/>
      <c r="B177" s="14"/>
      <c r="C177" s="14"/>
      <c r="D177" s="14"/>
      <c r="E177" s="14"/>
      <c r="F177" s="14"/>
    </row>
    <row r="178" ht="15.75" customHeight="1">
      <c r="A178" s="14"/>
      <c r="B178" s="14"/>
      <c r="C178" s="14"/>
      <c r="D178" s="14"/>
      <c r="E178" s="14"/>
      <c r="F178" s="14"/>
    </row>
    <row r="179" ht="15.75" customHeight="1">
      <c r="A179" s="14"/>
      <c r="B179" s="14"/>
      <c r="C179" s="14"/>
      <c r="D179" s="14"/>
      <c r="E179" s="14"/>
      <c r="F179" s="14"/>
    </row>
    <row r="180" ht="15.75" customHeight="1">
      <c r="A180" s="14"/>
      <c r="B180" s="14"/>
      <c r="C180" s="14"/>
      <c r="D180" s="14"/>
      <c r="E180" s="14"/>
      <c r="F180" s="14"/>
    </row>
    <row r="181" ht="15.75" customHeight="1">
      <c r="A181" s="14"/>
      <c r="B181" s="14"/>
      <c r="C181" s="14"/>
      <c r="D181" s="14"/>
      <c r="E181" s="14"/>
      <c r="F181" s="14"/>
    </row>
    <row r="182" ht="15.75" customHeight="1">
      <c r="A182" s="14"/>
      <c r="B182" s="14"/>
      <c r="C182" s="14"/>
      <c r="D182" s="14"/>
      <c r="E182" s="14"/>
      <c r="F182" s="14"/>
    </row>
    <row r="183" ht="15.75" customHeight="1">
      <c r="A183" s="14"/>
      <c r="B183" s="14"/>
      <c r="C183" s="14"/>
      <c r="D183" s="14"/>
      <c r="E183" s="14"/>
      <c r="F183" s="14"/>
    </row>
    <row r="184" ht="15.75" customHeight="1">
      <c r="A184" s="14"/>
      <c r="B184" s="14"/>
      <c r="C184" s="14"/>
      <c r="D184" s="14"/>
      <c r="E184" s="14"/>
      <c r="F184" s="14"/>
    </row>
    <row r="185" ht="15.75" customHeight="1">
      <c r="A185" s="14"/>
      <c r="B185" s="14"/>
      <c r="C185" s="14"/>
      <c r="D185" s="14"/>
      <c r="E185" s="14"/>
      <c r="F185" s="14"/>
    </row>
    <row r="186" ht="15.75" customHeight="1">
      <c r="A186" s="14"/>
      <c r="B186" s="14"/>
      <c r="C186" s="14"/>
      <c r="D186" s="14"/>
      <c r="E186" s="14"/>
      <c r="F186" s="14"/>
    </row>
    <row r="187" ht="15.75" customHeight="1">
      <c r="A187" s="14"/>
      <c r="B187" s="14"/>
      <c r="C187" s="14"/>
      <c r="D187" s="14"/>
      <c r="E187" s="14"/>
      <c r="F187" s="14"/>
    </row>
    <row r="188" ht="15.75" customHeight="1">
      <c r="A188" s="14"/>
      <c r="B188" s="14"/>
      <c r="C188" s="14"/>
      <c r="D188" s="14"/>
      <c r="E188" s="14"/>
      <c r="F188" s="14"/>
    </row>
    <row r="189" ht="15.75" customHeight="1">
      <c r="A189" s="14"/>
      <c r="B189" s="14"/>
      <c r="C189" s="14"/>
      <c r="D189" s="14"/>
      <c r="E189" s="14"/>
      <c r="F189" s="14"/>
    </row>
    <row r="190" ht="15.75" customHeight="1">
      <c r="A190" s="14"/>
      <c r="B190" s="14"/>
      <c r="C190" s="14"/>
      <c r="D190" s="14"/>
      <c r="E190" s="14"/>
      <c r="F190" s="14"/>
    </row>
    <row r="191" ht="15.75" customHeight="1">
      <c r="A191" s="14"/>
      <c r="B191" s="14"/>
      <c r="C191" s="14"/>
      <c r="D191" s="14"/>
      <c r="E191" s="14"/>
      <c r="F191" s="14"/>
    </row>
    <row r="192" ht="15.75" customHeight="1">
      <c r="A192" s="14"/>
      <c r="B192" s="14"/>
      <c r="C192" s="14"/>
      <c r="D192" s="14"/>
      <c r="E192" s="14"/>
      <c r="F192" s="14"/>
    </row>
    <row r="193" ht="15.75" customHeight="1">
      <c r="A193" s="14"/>
      <c r="B193" s="14"/>
      <c r="C193" s="14"/>
      <c r="D193" s="14"/>
      <c r="E193" s="14"/>
      <c r="F193" s="14"/>
    </row>
    <row r="194" ht="15.75" customHeight="1">
      <c r="A194" s="14"/>
      <c r="B194" s="14"/>
      <c r="C194" s="14"/>
      <c r="D194" s="14"/>
      <c r="E194" s="14"/>
      <c r="F194" s="14"/>
    </row>
    <row r="195" ht="15.75" customHeight="1">
      <c r="A195" s="14"/>
      <c r="B195" s="14"/>
      <c r="C195" s="14"/>
      <c r="D195" s="14"/>
      <c r="E195" s="14"/>
      <c r="F195" s="14"/>
    </row>
    <row r="196" ht="15.75" customHeight="1">
      <c r="A196" s="14"/>
      <c r="B196" s="14"/>
      <c r="C196" s="14"/>
      <c r="D196" s="14"/>
      <c r="E196" s="14"/>
      <c r="F196" s="14"/>
    </row>
    <row r="197" ht="15.75" customHeight="1">
      <c r="A197" s="14"/>
      <c r="B197" s="14"/>
      <c r="C197" s="14"/>
      <c r="D197" s="14"/>
      <c r="E197" s="14"/>
      <c r="F197" s="14"/>
    </row>
    <row r="198" ht="15.75" customHeight="1">
      <c r="A198" s="14"/>
      <c r="B198" s="14"/>
      <c r="C198" s="14"/>
      <c r="D198" s="14"/>
      <c r="E198" s="14"/>
      <c r="F198" s="14"/>
    </row>
    <row r="199" ht="15.75" customHeight="1">
      <c r="A199" s="14"/>
      <c r="B199" s="14"/>
      <c r="C199" s="14"/>
      <c r="D199" s="14"/>
      <c r="E199" s="14"/>
      <c r="F199" s="14"/>
    </row>
    <row r="200" ht="15.75" customHeight="1">
      <c r="A200" s="14"/>
      <c r="B200" s="14"/>
      <c r="C200" s="14"/>
      <c r="D200" s="14"/>
      <c r="E200" s="14"/>
      <c r="F200" s="14"/>
    </row>
    <row r="201" ht="15.75" customHeight="1">
      <c r="A201" s="14"/>
      <c r="B201" s="14"/>
      <c r="C201" s="14"/>
      <c r="D201" s="14"/>
      <c r="E201" s="14"/>
      <c r="F201" s="14"/>
    </row>
    <row r="202" ht="15.75" customHeight="1">
      <c r="A202" s="14"/>
      <c r="B202" s="14"/>
      <c r="C202" s="14"/>
      <c r="D202" s="14"/>
      <c r="E202" s="14"/>
      <c r="F202" s="14"/>
    </row>
    <row r="203" ht="15.75" customHeight="1">
      <c r="A203" s="14"/>
      <c r="B203" s="14"/>
      <c r="C203" s="14"/>
      <c r="D203" s="14"/>
      <c r="E203" s="14"/>
      <c r="F203" s="14"/>
    </row>
    <row r="204" ht="15.75" customHeight="1">
      <c r="A204" s="14"/>
      <c r="B204" s="14"/>
      <c r="C204" s="14"/>
      <c r="D204" s="14"/>
      <c r="E204" s="14"/>
      <c r="F204" s="14"/>
    </row>
    <row r="205" ht="15.75" customHeight="1">
      <c r="A205" s="14"/>
      <c r="B205" s="14"/>
      <c r="C205" s="14"/>
      <c r="D205" s="14"/>
      <c r="E205" s="14"/>
      <c r="F205" s="14"/>
    </row>
    <row r="206" ht="15.75" customHeight="1">
      <c r="A206" s="14"/>
      <c r="B206" s="14"/>
      <c r="C206" s="14"/>
      <c r="D206" s="14"/>
      <c r="E206" s="14"/>
      <c r="F206" s="14"/>
    </row>
    <row r="207" ht="15.75" customHeight="1">
      <c r="A207" s="14"/>
      <c r="B207" s="14"/>
      <c r="C207" s="14"/>
      <c r="D207" s="14"/>
      <c r="E207" s="14"/>
      <c r="F207" s="14"/>
    </row>
    <row r="208" ht="15.75" customHeight="1">
      <c r="A208" s="14"/>
      <c r="B208" s="14"/>
      <c r="C208" s="14"/>
      <c r="D208" s="14"/>
      <c r="E208" s="14"/>
      <c r="F208" s="14"/>
    </row>
    <row r="209" ht="15.75" customHeight="1">
      <c r="A209" s="14"/>
      <c r="B209" s="14"/>
      <c r="C209" s="14"/>
      <c r="D209" s="14"/>
      <c r="E209" s="14"/>
      <c r="F209" s="14"/>
    </row>
    <row r="210" ht="15.75" customHeight="1">
      <c r="A210" s="14"/>
      <c r="B210" s="14"/>
      <c r="C210" s="14"/>
      <c r="D210" s="14"/>
      <c r="E210" s="14"/>
      <c r="F210" s="14"/>
    </row>
    <row r="211" ht="15.75" customHeight="1">
      <c r="A211" s="14"/>
      <c r="B211" s="14"/>
      <c r="C211" s="14"/>
      <c r="D211" s="14"/>
      <c r="E211" s="14"/>
      <c r="F211" s="14"/>
    </row>
    <row r="212" ht="15.75" customHeight="1">
      <c r="A212" s="14"/>
      <c r="B212" s="14"/>
      <c r="C212" s="14"/>
      <c r="D212" s="14"/>
      <c r="E212" s="14"/>
      <c r="F212" s="14"/>
    </row>
    <row r="213" ht="15.75" customHeight="1">
      <c r="A213" s="14"/>
      <c r="B213" s="14"/>
      <c r="C213" s="14"/>
      <c r="D213" s="14"/>
      <c r="E213" s="14"/>
      <c r="F213" s="14"/>
    </row>
    <row r="214" ht="15.75" customHeight="1">
      <c r="A214" s="14"/>
      <c r="B214" s="14"/>
      <c r="C214" s="14"/>
      <c r="D214" s="14"/>
      <c r="E214" s="14"/>
      <c r="F214" s="14"/>
    </row>
    <row r="215" ht="15.75" customHeight="1">
      <c r="A215" s="14"/>
      <c r="B215" s="14"/>
      <c r="C215" s="14"/>
      <c r="D215" s="14"/>
      <c r="E215" s="14"/>
      <c r="F215" s="14"/>
    </row>
    <row r="216" ht="15.75" customHeight="1">
      <c r="A216" s="14"/>
      <c r="B216" s="14"/>
      <c r="C216" s="14"/>
      <c r="D216" s="14"/>
      <c r="E216" s="14"/>
      <c r="F216" s="14"/>
    </row>
    <row r="217" ht="15.75" customHeight="1">
      <c r="A217" s="14"/>
      <c r="B217" s="14"/>
      <c r="C217" s="14"/>
      <c r="D217" s="14"/>
      <c r="E217" s="14"/>
      <c r="F217" s="14"/>
    </row>
    <row r="218" ht="15.75" customHeight="1">
      <c r="A218" s="14"/>
      <c r="B218" s="14"/>
      <c r="C218" s="14"/>
      <c r="D218" s="14"/>
      <c r="E218" s="14"/>
      <c r="F218" s="14"/>
    </row>
    <row r="219" ht="15.75" customHeight="1">
      <c r="A219" s="14"/>
      <c r="B219" s="14"/>
      <c r="C219" s="14"/>
      <c r="D219" s="14"/>
      <c r="E219" s="14"/>
      <c r="F219" s="14"/>
    </row>
    <row r="220" ht="15.75" customHeight="1">
      <c r="A220" s="14"/>
      <c r="B220" s="14"/>
      <c r="C220" s="14"/>
      <c r="D220" s="14"/>
      <c r="E220" s="14"/>
      <c r="F220" s="1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F$1"/>
  <conditionalFormatting sqref="E2:E1000">
    <cfRule type="expression" dxfId="0" priority="1">
      <formula>E2="Pass"</formula>
    </cfRule>
  </conditionalFormatting>
  <conditionalFormatting sqref="E2:E1000">
    <cfRule type="expression" dxfId="1" priority="2">
      <formula>E2="Fail"</formula>
    </cfRule>
  </conditionalFormatting>
  <conditionalFormatting sqref="E2:E1000">
    <cfRule type="expression" dxfId="2" priority="3">
      <formula>E2="Blocked"</formula>
    </cfRule>
  </conditionalFormatting>
  <dataValidations>
    <dataValidation type="list" allowBlank="1" sqref="E2:E200">
      <formula1>"Not Run,In Progress,Completed,Blocked"</formula1>
    </dataValidation>
    <dataValidation type="list" allowBlank="1" sqref="D2:D200">
      <formula1>"Low,Medium,High,Critical"</formula1>
    </dataValidation>
  </dataValidations>
  <printOptions/>
  <pageMargins bottom="1.0" footer="0.0" header="0.0" left="0.75" right="0.75" top="1.0"/>
  <pageSetup fitToHeight="0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6.0"/>
    <col customWidth="1" min="3" max="3" width="20.0"/>
    <col customWidth="1" min="4" max="4" width="36.0"/>
    <col customWidth="1" min="5" max="5" width="32.0"/>
    <col customWidth="1" min="6" max="6" width="48.0"/>
    <col customWidth="1" min="7" max="7" width="30.0"/>
    <col customWidth="1" min="8" max="9" width="42.0"/>
    <col customWidth="1" min="10" max="10" width="16.0"/>
    <col customWidth="1" min="11" max="11" width="14.0"/>
    <col customWidth="1" min="12" max="12" width="20.0"/>
    <col customWidth="1" min="13" max="13" width="18.0"/>
    <col customWidth="1" min="14" max="14" width="16.0"/>
    <col customWidth="1" min="15" max="15" width="38.0"/>
    <col customWidth="1" min="16" max="26" width="8.71"/>
  </cols>
  <sheetData>
    <row r="1" ht="31.5" customHeight="1">
      <c r="A1" s="1" t="s">
        <v>109</v>
      </c>
      <c r="B1" s="1" t="s">
        <v>3</v>
      </c>
      <c r="C1" s="1" t="s">
        <v>110</v>
      </c>
      <c r="D1" s="1" t="s">
        <v>111</v>
      </c>
      <c r="E1" s="1" t="s">
        <v>112</v>
      </c>
      <c r="F1" s="1" t="s">
        <v>113</v>
      </c>
      <c r="G1" s="1" t="s">
        <v>114</v>
      </c>
      <c r="H1" s="1" t="s">
        <v>115</v>
      </c>
      <c r="I1" s="1" t="s">
        <v>116</v>
      </c>
      <c r="J1" s="1" t="s">
        <v>9</v>
      </c>
      <c r="K1" s="1" t="s">
        <v>8</v>
      </c>
      <c r="L1" s="1" t="s">
        <v>117</v>
      </c>
      <c r="M1" s="1" t="s">
        <v>118</v>
      </c>
      <c r="N1" s="1" t="s">
        <v>119</v>
      </c>
      <c r="O1" s="1" t="s">
        <v>120</v>
      </c>
    </row>
    <row r="2">
      <c r="A2" s="15" t="s">
        <v>121</v>
      </c>
      <c r="B2" s="15" t="s">
        <v>13</v>
      </c>
      <c r="C2" s="15" t="s">
        <v>16</v>
      </c>
      <c r="D2" s="15" t="s">
        <v>124</v>
      </c>
      <c r="E2" s="15" t="s">
        <v>125</v>
      </c>
      <c r="F2" s="15" t="s">
        <v>127</v>
      </c>
      <c r="G2" s="15" t="s">
        <v>128</v>
      </c>
      <c r="H2" s="15" t="s">
        <v>129</v>
      </c>
      <c r="I2" s="15"/>
      <c r="J2" s="15" t="s">
        <v>33</v>
      </c>
      <c r="K2" s="15" t="s">
        <v>29</v>
      </c>
      <c r="L2" s="15"/>
      <c r="M2" s="15"/>
      <c r="N2" s="15"/>
      <c r="O2" s="15"/>
    </row>
    <row r="3">
      <c r="A3" s="15" t="s">
        <v>133</v>
      </c>
      <c r="B3" s="15" t="s">
        <v>37</v>
      </c>
      <c r="C3" s="15" t="s">
        <v>40</v>
      </c>
      <c r="D3" s="15" t="s">
        <v>135</v>
      </c>
      <c r="E3" s="15" t="s">
        <v>137</v>
      </c>
      <c r="F3" s="15" t="s">
        <v>138</v>
      </c>
      <c r="G3" s="15" t="s">
        <v>128</v>
      </c>
      <c r="H3" s="15" t="s">
        <v>140</v>
      </c>
      <c r="I3" s="15"/>
      <c r="J3" s="15" t="s">
        <v>33</v>
      </c>
      <c r="K3" s="15" t="s">
        <v>29</v>
      </c>
      <c r="L3" s="15"/>
      <c r="M3" s="15"/>
      <c r="N3" s="15"/>
      <c r="O3" s="15"/>
    </row>
    <row r="4">
      <c r="A4" s="15" t="s">
        <v>142</v>
      </c>
      <c r="B4" s="15" t="s">
        <v>51</v>
      </c>
      <c r="C4" s="15" t="s">
        <v>143</v>
      </c>
      <c r="D4" s="15" t="s">
        <v>144</v>
      </c>
      <c r="E4" s="15" t="s">
        <v>145</v>
      </c>
      <c r="F4" s="15" t="s">
        <v>146</v>
      </c>
      <c r="G4" s="15" t="s">
        <v>147</v>
      </c>
      <c r="H4" s="15" t="s">
        <v>149</v>
      </c>
      <c r="I4" s="15"/>
      <c r="J4" s="15" t="s">
        <v>33</v>
      </c>
      <c r="K4" s="15" t="s">
        <v>58</v>
      </c>
      <c r="L4" s="15"/>
      <c r="M4" s="15"/>
      <c r="N4" s="15"/>
      <c r="O4" s="15"/>
    </row>
    <row r="5">
      <c r="A5" s="15" t="s">
        <v>155</v>
      </c>
      <c r="B5" s="15" t="s">
        <v>64</v>
      </c>
      <c r="C5" s="15" t="s">
        <v>65</v>
      </c>
      <c r="D5" s="15" t="s">
        <v>157</v>
      </c>
      <c r="E5" s="15" t="s">
        <v>158</v>
      </c>
      <c r="F5" s="15" t="s">
        <v>159</v>
      </c>
      <c r="G5" s="15" t="s">
        <v>160</v>
      </c>
      <c r="H5" s="15" t="s">
        <v>161</v>
      </c>
      <c r="I5" s="15"/>
      <c r="J5" s="15" t="s">
        <v>33</v>
      </c>
      <c r="K5" s="15" t="s">
        <v>29</v>
      </c>
      <c r="L5" s="15"/>
      <c r="M5" s="15"/>
      <c r="N5" s="15"/>
      <c r="O5" s="15"/>
    </row>
    <row r="6">
      <c r="A6" s="15" t="s">
        <v>164</v>
      </c>
      <c r="B6" s="15" t="s">
        <v>70</v>
      </c>
      <c r="C6" s="15" t="s">
        <v>65</v>
      </c>
      <c r="D6" s="15" t="s">
        <v>165</v>
      </c>
      <c r="E6" s="15" t="s">
        <v>158</v>
      </c>
      <c r="F6" s="15" t="s">
        <v>166</v>
      </c>
      <c r="G6" s="15" t="s">
        <v>167</v>
      </c>
      <c r="H6" s="15" t="s">
        <v>168</v>
      </c>
      <c r="I6" s="15"/>
      <c r="J6" s="15" t="s">
        <v>33</v>
      </c>
      <c r="K6" s="15" t="s">
        <v>29</v>
      </c>
      <c r="L6" s="15"/>
      <c r="M6" s="15"/>
      <c r="N6" s="15"/>
      <c r="O6" s="15"/>
    </row>
    <row r="7">
      <c r="A7" s="15" t="s">
        <v>174</v>
      </c>
      <c r="B7" s="15" t="s">
        <v>81</v>
      </c>
      <c r="C7" s="15" t="s">
        <v>83</v>
      </c>
      <c r="D7" s="15" t="s">
        <v>178</v>
      </c>
      <c r="E7" s="15" t="s">
        <v>145</v>
      </c>
      <c r="F7" s="15" t="s">
        <v>180</v>
      </c>
      <c r="G7" s="15" t="s">
        <v>181</v>
      </c>
      <c r="H7" s="15" t="s">
        <v>182</v>
      </c>
      <c r="I7" s="15"/>
      <c r="J7" s="15" t="s">
        <v>33</v>
      </c>
      <c r="K7" s="15" t="s">
        <v>29</v>
      </c>
      <c r="L7" s="15"/>
      <c r="M7" s="15"/>
      <c r="N7" s="15"/>
      <c r="O7" s="15"/>
    </row>
    <row r="8">
      <c r="A8" s="15" t="s">
        <v>183</v>
      </c>
      <c r="B8" s="15" t="s">
        <v>87</v>
      </c>
      <c r="C8" s="15" t="s">
        <v>83</v>
      </c>
      <c r="D8" s="15" t="s">
        <v>187</v>
      </c>
      <c r="E8" s="15" t="s">
        <v>188</v>
      </c>
      <c r="F8" s="15" t="s">
        <v>190</v>
      </c>
      <c r="G8" s="15" t="s">
        <v>192</v>
      </c>
      <c r="H8" s="15" t="s">
        <v>194</v>
      </c>
      <c r="I8" s="15"/>
      <c r="J8" s="15" t="s">
        <v>33</v>
      </c>
      <c r="K8" s="15" t="s">
        <v>29</v>
      </c>
      <c r="L8" s="15"/>
      <c r="M8" s="15"/>
      <c r="N8" s="15"/>
      <c r="O8" s="15"/>
    </row>
    <row r="9">
      <c r="A9" s="15" t="s">
        <v>197</v>
      </c>
      <c r="B9" s="15" t="s">
        <v>94</v>
      </c>
      <c r="C9" s="15" t="s">
        <v>96</v>
      </c>
      <c r="D9" s="15" t="s">
        <v>199</v>
      </c>
      <c r="E9" s="15" t="s">
        <v>201</v>
      </c>
      <c r="F9" s="15" t="s">
        <v>203</v>
      </c>
      <c r="G9" s="15" t="s">
        <v>204</v>
      </c>
      <c r="H9" s="15" t="s">
        <v>205</v>
      </c>
      <c r="I9" s="15"/>
      <c r="J9" s="15" t="s">
        <v>33</v>
      </c>
      <c r="K9" s="15" t="s">
        <v>29</v>
      </c>
      <c r="L9" s="15"/>
      <c r="M9" s="15"/>
      <c r="N9" s="15"/>
      <c r="O9" s="15"/>
    </row>
    <row r="10">
      <c r="A10" s="15" t="s">
        <v>169</v>
      </c>
      <c r="B10" s="15" t="s">
        <v>101</v>
      </c>
      <c r="C10" s="15" t="s">
        <v>102</v>
      </c>
      <c r="D10" s="15" t="s">
        <v>209</v>
      </c>
      <c r="E10" s="15" t="s">
        <v>151</v>
      </c>
      <c r="F10" s="15" t="s">
        <v>211</v>
      </c>
      <c r="G10" s="15" t="s">
        <v>213</v>
      </c>
      <c r="H10" s="15" t="s">
        <v>215</v>
      </c>
      <c r="I10" s="15"/>
      <c r="J10" s="15" t="s">
        <v>33</v>
      </c>
      <c r="K10" s="15" t="s">
        <v>58</v>
      </c>
      <c r="L10" s="15"/>
      <c r="M10" s="15"/>
      <c r="N10" s="15"/>
      <c r="O10" s="15"/>
    </row>
    <row r="11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</row>
    <row r="12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</row>
    <row r="13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</row>
    <row r="14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</row>
    <row r="15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</row>
    <row r="16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</row>
    <row r="17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</row>
    <row r="18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</row>
    <row r="19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</row>
    <row r="20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</row>
    <row r="21" ht="15.75" customHeight="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</row>
    <row r="22" ht="15.75" customHeight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</row>
    <row r="23" ht="15.75" customHeight="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</row>
    <row r="24" ht="15.75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</row>
    <row r="25" ht="15.75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</row>
    <row r="26" ht="15.75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</row>
    <row r="27" ht="15.75" customHeight="1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</row>
    <row r="28" ht="15.75" customHeight="1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</row>
    <row r="29" ht="15.75" customHeight="1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</row>
    <row r="30" ht="15.75" customHeight="1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</row>
    <row r="31" ht="15.75" customHeight="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</row>
    <row r="32" ht="15.75" customHeight="1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</row>
    <row r="33" ht="15.75" customHeight="1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</row>
    <row r="34" ht="15.75" customHeight="1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</row>
    <row r="35" ht="15.75" customHeight="1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</row>
    <row r="36" ht="15.75" customHeight="1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</row>
    <row r="37" ht="15.75" customHeight="1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</row>
    <row r="38" ht="15.75" customHeight="1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</row>
    <row r="39" ht="15.75" customHeight="1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</row>
    <row r="40" ht="15.75" customHeight="1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</row>
    <row r="41" ht="15.75" customHeight="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</row>
    <row r="42" ht="15.75" customHeight="1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</row>
    <row r="43" ht="15.75" customHeight="1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</row>
    <row r="44" ht="15.75" customHeight="1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</row>
    <row r="45" ht="15.75" customHeight="1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</row>
    <row r="46" ht="15.75" customHeight="1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</row>
    <row r="47" ht="15.75" customHeight="1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</row>
    <row r="48" ht="15.75" customHeight="1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</row>
    <row r="49" ht="15.75" customHeight="1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</row>
    <row r="50" ht="15.75" customHeight="1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</row>
    <row r="51" ht="15.75" customHeight="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</row>
    <row r="52" ht="15.75" customHeight="1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</row>
    <row r="53" ht="15.75" customHeight="1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</row>
    <row r="54" ht="15.75" customHeight="1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</row>
    <row r="55" ht="15.75" customHeight="1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</row>
    <row r="56" ht="15.75" customHeight="1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</row>
    <row r="57" ht="15.75" customHeight="1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</row>
    <row r="58" ht="15.75" customHeight="1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</row>
    <row r="59" ht="15.75" customHeight="1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</row>
    <row r="60" ht="15.75" customHeight="1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</row>
    <row r="61" ht="15.75" customHeight="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</row>
    <row r="62" ht="15.75" customHeight="1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</row>
    <row r="63" ht="15.75" customHeight="1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</row>
    <row r="64" ht="15.75" customHeight="1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</row>
    <row r="65" ht="15.75" customHeight="1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</row>
    <row r="66" ht="15.75" customHeight="1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</row>
    <row r="67" ht="15.75" customHeight="1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</row>
    <row r="68" ht="15.75" customHeight="1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</row>
    <row r="69" ht="15.75" customHeight="1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</row>
    <row r="70" ht="15.75" customHeight="1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</row>
    <row r="71" ht="15.75" customHeight="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</row>
    <row r="72" ht="15.75" customHeight="1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</row>
    <row r="73" ht="15.75" customHeight="1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</row>
    <row r="74" ht="15.75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</row>
    <row r="75" ht="15.75" customHeight="1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</row>
    <row r="76" ht="15.75" customHeight="1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</row>
    <row r="77" ht="15.75" customHeight="1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</row>
    <row r="78" ht="15.75" customHeight="1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</row>
    <row r="79" ht="15.75" customHeight="1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</row>
    <row r="80" ht="15.75" customHeight="1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</row>
    <row r="81" ht="15.75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</row>
    <row r="82" ht="15.75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</row>
    <row r="83" ht="15.75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</row>
    <row r="84" ht="15.75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</row>
    <row r="85" ht="15.75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</row>
    <row r="86" ht="15.75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</row>
    <row r="87" ht="15.75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</row>
    <row r="88" ht="15.75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</row>
    <row r="89" ht="15.75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</row>
    <row r="90" ht="15.75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</row>
    <row r="91" ht="15.75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</row>
    <row r="92" ht="15.75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</row>
    <row r="93" ht="15.75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</row>
    <row r="94" ht="15.75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</row>
    <row r="95" ht="15.75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</row>
    <row r="96" ht="15.75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</row>
    <row r="97" ht="15.75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</row>
    <row r="98" ht="15.75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</row>
    <row r="99" ht="15.75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</row>
    <row r="100" ht="15.75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</row>
    <row r="101" ht="15.75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</row>
    <row r="102" ht="15.75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</row>
    <row r="103" ht="15.75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</row>
    <row r="104" ht="15.75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</row>
    <row r="105" ht="15.75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</row>
    <row r="106" ht="15.75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</row>
    <row r="107" ht="15.75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</row>
    <row r="108" ht="15.75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</row>
    <row r="109" ht="15.75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</row>
    <row r="110" ht="15.75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</row>
    <row r="111" ht="15.75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</row>
    <row r="112" ht="15.75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</row>
    <row r="113" ht="15.75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</row>
    <row r="114" ht="15.75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</row>
    <row r="115" ht="15.75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</row>
    <row r="116" ht="15.75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</row>
    <row r="117" ht="15.75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</row>
    <row r="118" ht="15.75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</row>
    <row r="119" ht="15.75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</row>
    <row r="120" ht="15.75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</row>
    <row r="121" ht="15.75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</row>
    <row r="122" ht="15.75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</row>
    <row r="123" ht="15.75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</row>
    <row r="124" ht="15.75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</row>
    <row r="125" ht="15.75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</row>
    <row r="126" ht="15.75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</row>
    <row r="127" ht="15.75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</row>
    <row r="128" ht="15.75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</row>
    <row r="129" ht="15.75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</row>
    <row r="130" ht="15.75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</row>
    <row r="131" ht="15.75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</row>
    <row r="132" ht="15.75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</row>
    <row r="133" ht="15.75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</row>
    <row r="134" ht="15.75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</row>
    <row r="135" ht="15.75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</row>
    <row r="136" ht="15.75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</row>
    <row r="137" ht="15.75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</row>
    <row r="138" ht="15.75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</row>
    <row r="139" ht="15.75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</row>
    <row r="140" ht="15.75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</row>
    <row r="141" ht="15.75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</row>
    <row r="142" ht="15.75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</row>
    <row r="143" ht="15.75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</row>
    <row r="144" ht="15.75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</row>
    <row r="145" ht="15.75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</row>
    <row r="146" ht="15.75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</row>
    <row r="147" ht="15.75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</row>
    <row r="148" ht="15.75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</row>
    <row r="149" ht="15.75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</row>
    <row r="150" ht="15.75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</row>
    <row r="151" ht="15.75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</row>
    <row r="152" ht="15.75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</row>
    <row r="153" ht="15.75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</row>
    <row r="154" ht="15.75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</row>
    <row r="155" ht="15.75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</row>
    <row r="156" ht="15.75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</row>
    <row r="157" ht="15.75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</row>
    <row r="158" ht="15.75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</row>
    <row r="159" ht="15.75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</row>
    <row r="160" ht="15.75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</row>
    <row r="161" ht="15.75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</row>
    <row r="162" ht="15.75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</row>
    <row r="163" ht="15.75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</row>
    <row r="164" ht="15.75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</row>
    <row r="165" ht="15.75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</row>
    <row r="166" ht="15.75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</row>
    <row r="167" ht="15.75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</row>
    <row r="168" ht="15.75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</row>
    <row r="169" ht="15.75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</row>
    <row r="170" ht="15.75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</row>
    <row r="171" ht="15.75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</row>
    <row r="172" ht="15.75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</row>
    <row r="173" ht="15.75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</row>
    <row r="174" ht="15.75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</row>
    <row r="175" ht="15.75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</row>
    <row r="176" ht="15.75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</row>
    <row r="177" ht="15.75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</row>
    <row r="178" ht="15.75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</row>
    <row r="179" ht="15.75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</row>
    <row r="180" ht="15.75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</row>
    <row r="181" ht="15.75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</row>
    <row r="182" ht="15.75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</row>
    <row r="183" ht="15.75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</row>
    <row r="184" ht="15.75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</row>
    <row r="185" ht="15.75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</row>
    <row r="186" ht="15.75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</row>
    <row r="187" ht="15.75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</row>
    <row r="188" ht="15.75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</row>
    <row r="189" ht="15.75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</row>
    <row r="190" ht="15.75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</row>
    <row r="191" ht="15.75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</row>
    <row r="192" ht="15.75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</row>
    <row r="193" ht="15.75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</row>
    <row r="194" ht="15.75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</row>
    <row r="195" ht="15.75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</row>
    <row r="196" ht="15.75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</row>
    <row r="197" ht="15.75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</row>
    <row r="198" ht="15.75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</row>
    <row r="199" ht="15.75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</row>
    <row r="200" ht="15.75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</row>
    <row r="201" ht="15.75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</row>
    <row r="202" ht="15.75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</row>
    <row r="203" ht="15.75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</row>
    <row r="204" ht="15.75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</row>
    <row r="205" ht="15.75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</row>
    <row r="206" ht="15.75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</row>
    <row r="207" ht="15.75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</row>
    <row r="208" ht="15.75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</row>
    <row r="209" ht="15.75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</row>
    <row r="210" ht="15.75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</row>
    <row r="211" ht="15.75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</row>
    <row r="212" ht="15.75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</row>
    <row r="213" ht="15.75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</row>
    <row r="214" ht="15.75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</row>
    <row r="215" ht="15.75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</row>
    <row r="216" ht="15.75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</row>
    <row r="217" ht="15.75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</row>
    <row r="218" ht="15.75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</row>
    <row r="219" ht="15.75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</row>
    <row r="220" ht="15.75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</row>
    <row r="221" ht="15.75" customHeight="1">
      <c r="J221" s="20"/>
      <c r="K221" s="20"/>
    </row>
    <row r="222" ht="15.75" customHeight="1">
      <c r="J222" s="20"/>
      <c r="K222" s="20"/>
    </row>
    <row r="223" ht="15.75" customHeight="1">
      <c r="J223" s="20"/>
      <c r="K223" s="20"/>
    </row>
    <row r="224" ht="15.75" customHeight="1">
      <c r="J224" s="20"/>
      <c r="K224" s="20"/>
    </row>
    <row r="225" ht="15.75" customHeight="1">
      <c r="J225" s="20"/>
      <c r="K225" s="20"/>
    </row>
    <row r="226" ht="15.75" customHeight="1">
      <c r="J226" s="20"/>
      <c r="K226" s="20"/>
    </row>
    <row r="227" ht="15.75" customHeight="1">
      <c r="J227" s="20"/>
      <c r="K227" s="20"/>
    </row>
    <row r="228" ht="15.75" customHeight="1">
      <c r="J228" s="20"/>
      <c r="K228" s="20"/>
    </row>
    <row r="229" ht="15.75" customHeight="1">
      <c r="J229" s="20"/>
      <c r="K229" s="20"/>
    </row>
    <row r="230" ht="15.75" customHeight="1">
      <c r="J230" s="20"/>
      <c r="K230" s="20"/>
    </row>
    <row r="231" ht="15.75" customHeight="1">
      <c r="J231" s="20"/>
      <c r="K231" s="20"/>
    </row>
    <row r="232" ht="15.75" customHeight="1">
      <c r="J232" s="20"/>
      <c r="K232" s="20"/>
    </row>
    <row r="233" ht="15.75" customHeight="1">
      <c r="J233" s="20"/>
      <c r="K233" s="20"/>
    </row>
    <row r="234" ht="15.75" customHeight="1">
      <c r="J234" s="20"/>
      <c r="K234" s="20"/>
    </row>
    <row r="235" ht="15.75" customHeight="1">
      <c r="J235" s="20"/>
      <c r="K235" s="20"/>
    </row>
    <row r="236" ht="15.75" customHeight="1">
      <c r="J236" s="20"/>
      <c r="K236" s="20"/>
    </row>
    <row r="237" ht="15.75" customHeight="1">
      <c r="J237" s="20"/>
      <c r="K237" s="20"/>
    </row>
    <row r="238" ht="15.75" customHeight="1">
      <c r="J238" s="20"/>
      <c r="K238" s="20"/>
    </row>
    <row r="239" ht="15.75" customHeight="1">
      <c r="J239" s="20"/>
      <c r="K239" s="20"/>
    </row>
    <row r="240" ht="15.75" customHeight="1">
      <c r="J240" s="20"/>
      <c r="K240" s="20"/>
    </row>
    <row r="241" ht="15.75" customHeight="1">
      <c r="J241" s="20"/>
      <c r="K241" s="20"/>
    </row>
    <row r="242" ht="15.75" customHeight="1">
      <c r="J242" s="20"/>
      <c r="K242" s="20"/>
    </row>
    <row r="243" ht="15.75" customHeight="1">
      <c r="J243" s="20"/>
      <c r="K243" s="20"/>
    </row>
    <row r="244" ht="15.75" customHeight="1">
      <c r="J244" s="20"/>
      <c r="K244" s="20"/>
    </row>
    <row r="245" ht="15.75" customHeight="1">
      <c r="J245" s="20"/>
      <c r="K245" s="20"/>
    </row>
    <row r="246" ht="15.75" customHeight="1">
      <c r="J246" s="20"/>
      <c r="K246" s="20"/>
    </row>
    <row r="247" ht="15.75" customHeight="1">
      <c r="J247" s="20"/>
      <c r="K247" s="20"/>
    </row>
    <row r="248" ht="15.75" customHeight="1">
      <c r="J248" s="20"/>
      <c r="K248" s="20"/>
    </row>
    <row r="249" ht="15.75" customHeight="1">
      <c r="J249" s="20"/>
      <c r="K249" s="20"/>
    </row>
    <row r="250" ht="15.75" customHeight="1">
      <c r="J250" s="20"/>
      <c r="K250" s="20"/>
    </row>
    <row r="251" ht="15.75" customHeight="1">
      <c r="J251" s="20"/>
      <c r="K251" s="20"/>
    </row>
    <row r="252" ht="15.75" customHeight="1">
      <c r="J252" s="20"/>
      <c r="K252" s="20"/>
    </row>
    <row r="253" ht="15.75" customHeight="1">
      <c r="J253" s="20"/>
      <c r="K253" s="20"/>
    </row>
    <row r="254" ht="15.75" customHeight="1">
      <c r="J254" s="20"/>
      <c r="K254" s="20"/>
    </row>
    <row r="255" ht="15.75" customHeight="1">
      <c r="J255" s="20"/>
      <c r="K255" s="20"/>
    </row>
    <row r="256" ht="15.75" customHeight="1">
      <c r="J256" s="20"/>
      <c r="K256" s="20"/>
    </row>
    <row r="257" ht="15.75" customHeight="1">
      <c r="J257" s="20"/>
      <c r="K257" s="20"/>
    </row>
    <row r="258" ht="15.75" customHeight="1">
      <c r="J258" s="20"/>
      <c r="K258" s="20"/>
    </row>
    <row r="259" ht="15.75" customHeight="1">
      <c r="J259" s="20"/>
      <c r="K259" s="20"/>
    </row>
    <row r="260" ht="15.75" customHeight="1">
      <c r="J260" s="20"/>
      <c r="K260" s="20"/>
    </row>
    <row r="261" ht="15.75" customHeight="1">
      <c r="J261" s="20"/>
      <c r="K261" s="20"/>
    </row>
    <row r="262" ht="15.75" customHeight="1">
      <c r="J262" s="20"/>
      <c r="K262" s="20"/>
    </row>
    <row r="263" ht="15.75" customHeight="1">
      <c r="J263" s="20"/>
      <c r="K263" s="20"/>
    </row>
    <row r="264" ht="15.75" customHeight="1">
      <c r="J264" s="20"/>
      <c r="K264" s="20"/>
    </row>
    <row r="265" ht="15.75" customHeight="1">
      <c r="J265" s="20"/>
      <c r="K265" s="20"/>
    </row>
    <row r="266" ht="15.75" customHeight="1">
      <c r="J266" s="20"/>
      <c r="K266" s="20"/>
    </row>
    <row r="267" ht="15.75" customHeight="1">
      <c r="J267" s="20"/>
      <c r="K267" s="20"/>
    </row>
    <row r="268" ht="15.75" customHeight="1">
      <c r="J268" s="20"/>
      <c r="K268" s="20"/>
    </row>
    <row r="269" ht="15.75" customHeight="1">
      <c r="J269" s="20"/>
      <c r="K269" s="20"/>
    </row>
    <row r="270" ht="15.75" customHeight="1">
      <c r="J270" s="20"/>
      <c r="K270" s="20"/>
    </row>
    <row r="271" ht="15.75" customHeight="1">
      <c r="J271" s="20"/>
      <c r="K271" s="20"/>
    </row>
    <row r="272" ht="15.75" customHeight="1">
      <c r="J272" s="20"/>
      <c r="K272" s="20"/>
    </row>
    <row r="273" ht="15.75" customHeight="1">
      <c r="J273" s="20"/>
      <c r="K273" s="20"/>
    </row>
    <row r="274" ht="15.75" customHeight="1">
      <c r="J274" s="20"/>
      <c r="K274" s="20"/>
    </row>
    <row r="275" ht="15.75" customHeight="1">
      <c r="J275" s="20"/>
      <c r="K275" s="20"/>
    </row>
    <row r="276" ht="15.75" customHeight="1">
      <c r="J276" s="20"/>
      <c r="K276" s="20"/>
    </row>
    <row r="277" ht="15.75" customHeight="1">
      <c r="J277" s="20"/>
      <c r="K277" s="20"/>
    </row>
    <row r="278" ht="15.75" customHeight="1">
      <c r="J278" s="20"/>
      <c r="K278" s="20"/>
    </row>
    <row r="279" ht="15.75" customHeight="1">
      <c r="J279" s="20"/>
      <c r="K279" s="20"/>
    </row>
    <row r="280" ht="15.75" customHeight="1">
      <c r="J280" s="20"/>
      <c r="K280" s="20"/>
    </row>
    <row r="281" ht="15.75" customHeight="1">
      <c r="J281" s="20"/>
      <c r="K281" s="20"/>
    </row>
    <row r="282" ht="15.75" customHeight="1">
      <c r="J282" s="20"/>
      <c r="K282" s="20"/>
    </row>
    <row r="283" ht="15.75" customHeight="1">
      <c r="J283" s="20"/>
      <c r="K283" s="20"/>
    </row>
    <row r="284" ht="15.75" customHeight="1">
      <c r="J284" s="20"/>
      <c r="K284" s="20"/>
    </row>
    <row r="285" ht="15.75" customHeight="1">
      <c r="J285" s="20"/>
      <c r="K285" s="20"/>
    </row>
    <row r="286" ht="15.75" customHeight="1">
      <c r="J286" s="20"/>
      <c r="K286" s="20"/>
    </row>
    <row r="287" ht="15.75" customHeight="1">
      <c r="J287" s="20"/>
      <c r="K287" s="20"/>
    </row>
    <row r="288" ht="15.75" customHeight="1">
      <c r="J288" s="20"/>
      <c r="K288" s="20"/>
    </row>
    <row r="289" ht="15.75" customHeight="1">
      <c r="J289" s="20"/>
      <c r="K289" s="20"/>
    </row>
    <row r="290" ht="15.75" customHeight="1">
      <c r="J290" s="20"/>
      <c r="K290" s="20"/>
    </row>
    <row r="291" ht="15.75" customHeight="1">
      <c r="J291" s="20"/>
      <c r="K291" s="20"/>
    </row>
    <row r="292" ht="15.75" customHeight="1">
      <c r="J292" s="20"/>
      <c r="K292" s="20"/>
    </row>
    <row r="293" ht="15.75" customHeight="1">
      <c r="J293" s="20"/>
      <c r="K293" s="20"/>
    </row>
    <row r="294" ht="15.75" customHeight="1">
      <c r="J294" s="20"/>
      <c r="K294" s="20"/>
    </row>
    <row r="295" ht="15.75" customHeight="1">
      <c r="J295" s="20"/>
      <c r="K295" s="20"/>
    </row>
    <row r="296" ht="15.75" customHeight="1">
      <c r="J296" s="20"/>
      <c r="K296" s="20"/>
    </row>
    <row r="297" ht="15.75" customHeight="1">
      <c r="J297" s="20"/>
      <c r="K297" s="20"/>
    </row>
    <row r="298" ht="15.75" customHeight="1">
      <c r="J298" s="20"/>
      <c r="K298" s="20"/>
    </row>
    <row r="299" ht="15.75" customHeight="1">
      <c r="J299" s="20"/>
      <c r="K299" s="20"/>
    </row>
    <row r="300" ht="15.75" customHeight="1">
      <c r="J300" s="20"/>
      <c r="K300" s="20"/>
    </row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O$1"/>
  <conditionalFormatting sqref="J2:J1000">
    <cfRule type="expression" dxfId="0" priority="1">
      <formula>J2="Pass"</formula>
    </cfRule>
  </conditionalFormatting>
  <conditionalFormatting sqref="J2:J1000">
    <cfRule type="expression" dxfId="1" priority="2">
      <formula>J2="Fail"</formula>
    </cfRule>
  </conditionalFormatting>
  <conditionalFormatting sqref="J2:J1000">
    <cfRule type="expression" dxfId="2" priority="3">
      <formula>J2="Blocked"</formula>
    </cfRule>
  </conditionalFormatting>
  <dataValidations>
    <dataValidation type="list" allowBlank="1" sqref="K2:K300">
      <formula1>"Low,Medium,High,Critical"</formula1>
    </dataValidation>
    <dataValidation type="list" allowBlank="1" sqref="J2:J300">
      <formula1>"Not Run,Pass,Fail,Blocked"</formula1>
    </dataValidation>
  </dataValidations>
  <printOptions/>
  <pageMargins bottom="1.0" footer="0.0" header="0.0" left="0.75" right="0.75" top="1.0"/>
  <pageSetup fitToHeight="0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38.0"/>
    <col customWidth="1" min="3" max="3" width="20.0"/>
    <col customWidth="1" min="4" max="5" width="28.0"/>
    <col customWidth="1" min="6" max="6" width="48.0"/>
    <col customWidth="1" min="7" max="8" width="38.0"/>
    <col customWidth="1" min="9" max="9" width="16.0"/>
    <col customWidth="1" min="10" max="10" width="14.0"/>
    <col customWidth="1" min="11" max="11" width="18.0"/>
    <col customWidth="1" min="12" max="12" width="20.0"/>
    <col customWidth="1" min="13" max="13" width="18.0"/>
    <col customWidth="1" min="14" max="14" width="20.0"/>
    <col customWidth="1" min="15" max="15" width="18.0"/>
    <col customWidth="1" min="16" max="16" width="38.0"/>
    <col customWidth="1" min="17" max="17" width="18.0"/>
    <col customWidth="1" min="18" max="18" width="35.0"/>
    <col customWidth="1" min="19" max="26" width="8.71"/>
  </cols>
  <sheetData>
    <row r="1" ht="31.5" customHeight="1">
      <c r="A1" s="1" t="s">
        <v>119</v>
      </c>
      <c r="B1" s="1" t="s">
        <v>122</v>
      </c>
      <c r="C1" s="1" t="s">
        <v>110</v>
      </c>
      <c r="D1" s="1" t="s">
        <v>123</v>
      </c>
      <c r="E1" s="1" t="s">
        <v>112</v>
      </c>
      <c r="F1" s="1" t="s">
        <v>126</v>
      </c>
      <c r="G1" s="1" t="s">
        <v>115</v>
      </c>
      <c r="H1" s="1" t="s">
        <v>116</v>
      </c>
      <c r="I1" s="1" t="s">
        <v>130</v>
      </c>
      <c r="J1" s="1" t="s">
        <v>8</v>
      </c>
      <c r="K1" s="1" t="s">
        <v>9</v>
      </c>
      <c r="L1" s="1" t="s">
        <v>131</v>
      </c>
      <c r="M1" s="1" t="s">
        <v>132</v>
      </c>
      <c r="N1" s="1" t="s">
        <v>134</v>
      </c>
      <c r="O1" s="1" t="s">
        <v>109</v>
      </c>
      <c r="P1" s="1" t="s">
        <v>136</v>
      </c>
      <c r="Q1" s="1" t="s">
        <v>139</v>
      </c>
      <c r="R1" s="1" t="s">
        <v>10</v>
      </c>
    </row>
    <row r="2">
      <c r="A2" s="16" t="s">
        <v>141</v>
      </c>
      <c r="B2" s="16" t="s">
        <v>148</v>
      </c>
      <c r="C2" s="16" t="s">
        <v>102</v>
      </c>
      <c r="D2" s="16" t="s">
        <v>150</v>
      </c>
      <c r="E2" s="16" t="s">
        <v>151</v>
      </c>
      <c r="F2" s="16" t="s">
        <v>152</v>
      </c>
      <c r="G2" s="16" t="s">
        <v>153</v>
      </c>
      <c r="H2" s="16" t="s">
        <v>154</v>
      </c>
      <c r="I2" s="16" t="s">
        <v>156</v>
      </c>
      <c r="J2" s="16" t="s">
        <v>58</v>
      </c>
      <c r="K2" s="16" t="s">
        <v>162</v>
      </c>
      <c r="L2" s="16" t="s">
        <v>163</v>
      </c>
      <c r="M2" s="17">
        <v>46320.0</v>
      </c>
      <c r="N2" s="18"/>
      <c r="O2" s="16" t="s">
        <v>169</v>
      </c>
      <c r="P2" s="18"/>
      <c r="Q2" s="16" t="s">
        <v>170</v>
      </c>
      <c r="R2" s="16" t="s">
        <v>171</v>
      </c>
    </row>
    <row r="3">
      <c r="A3" s="16" t="s">
        <v>172</v>
      </c>
      <c r="B3" s="16" t="s">
        <v>173</v>
      </c>
      <c r="C3" s="16" t="s">
        <v>83</v>
      </c>
      <c r="D3" s="16" t="s">
        <v>150</v>
      </c>
      <c r="E3" s="16" t="s">
        <v>175</v>
      </c>
      <c r="F3" s="16" t="s">
        <v>176</v>
      </c>
      <c r="G3" s="16" t="s">
        <v>177</v>
      </c>
      <c r="H3" s="16" t="s">
        <v>179</v>
      </c>
      <c r="I3" s="16" t="s">
        <v>156</v>
      </c>
      <c r="J3" s="16" t="s">
        <v>58</v>
      </c>
      <c r="K3" s="16" t="s">
        <v>162</v>
      </c>
      <c r="L3" s="16" t="s">
        <v>163</v>
      </c>
      <c r="M3" s="17">
        <v>46320.0</v>
      </c>
      <c r="N3" s="18"/>
      <c r="O3" s="18"/>
      <c r="P3" s="18"/>
      <c r="Q3" s="16" t="s">
        <v>170</v>
      </c>
      <c r="R3" s="16" t="s">
        <v>171</v>
      </c>
    </row>
    <row r="4">
      <c r="A4" s="16" t="s">
        <v>184</v>
      </c>
      <c r="B4" s="16" t="s">
        <v>185</v>
      </c>
      <c r="C4" s="16" t="s">
        <v>186</v>
      </c>
      <c r="D4" s="16" t="s">
        <v>150</v>
      </c>
      <c r="E4" s="16" t="s">
        <v>189</v>
      </c>
      <c r="F4" s="16" t="s">
        <v>191</v>
      </c>
      <c r="G4" s="16" t="s">
        <v>193</v>
      </c>
      <c r="H4" s="16" t="s">
        <v>195</v>
      </c>
      <c r="I4" s="16" t="s">
        <v>196</v>
      </c>
      <c r="J4" s="16" t="s">
        <v>58</v>
      </c>
      <c r="K4" s="16" t="s">
        <v>162</v>
      </c>
      <c r="L4" s="16" t="s">
        <v>163</v>
      </c>
      <c r="M4" s="17">
        <v>46320.0</v>
      </c>
      <c r="N4" s="18"/>
      <c r="O4" s="18"/>
      <c r="P4" s="18"/>
      <c r="Q4" s="16" t="s">
        <v>170</v>
      </c>
      <c r="R4" s="16" t="s">
        <v>198</v>
      </c>
    </row>
    <row r="5">
      <c r="A5" s="16" t="s">
        <v>200</v>
      </c>
      <c r="B5" s="16" t="s">
        <v>202</v>
      </c>
      <c r="C5" s="16" t="s">
        <v>186</v>
      </c>
      <c r="D5" s="16" t="s">
        <v>150</v>
      </c>
      <c r="E5" s="16" t="s">
        <v>158</v>
      </c>
      <c r="F5" s="16" t="s">
        <v>206</v>
      </c>
      <c r="G5" s="16" t="s">
        <v>207</v>
      </c>
      <c r="H5" s="16" t="s">
        <v>208</v>
      </c>
      <c r="I5" s="16" t="s">
        <v>196</v>
      </c>
      <c r="J5" s="16" t="s">
        <v>58</v>
      </c>
      <c r="K5" s="16" t="s">
        <v>162</v>
      </c>
      <c r="L5" s="16" t="s">
        <v>163</v>
      </c>
      <c r="M5" s="17">
        <v>46320.0</v>
      </c>
      <c r="N5" s="18"/>
      <c r="O5" s="18"/>
      <c r="P5" s="18"/>
      <c r="Q5" s="16" t="s">
        <v>170</v>
      </c>
      <c r="R5" s="16" t="s">
        <v>210</v>
      </c>
    </row>
    <row r="6">
      <c r="A6" s="16" t="s">
        <v>212</v>
      </c>
      <c r="B6" s="16" t="s">
        <v>214</v>
      </c>
      <c r="C6" s="16" t="s">
        <v>216</v>
      </c>
      <c r="D6" s="16" t="s">
        <v>150</v>
      </c>
      <c r="E6" s="16" t="s">
        <v>217</v>
      </c>
      <c r="F6" s="16" t="s">
        <v>218</v>
      </c>
      <c r="G6" s="16" t="s">
        <v>219</v>
      </c>
      <c r="H6" s="16" t="s">
        <v>220</v>
      </c>
      <c r="I6" s="16" t="s">
        <v>196</v>
      </c>
      <c r="J6" s="16" t="s">
        <v>29</v>
      </c>
      <c r="K6" s="16" t="s">
        <v>162</v>
      </c>
      <c r="L6" s="16" t="s">
        <v>163</v>
      </c>
      <c r="M6" s="19">
        <v>46320.0</v>
      </c>
      <c r="N6" s="18"/>
      <c r="O6" s="18"/>
      <c r="P6" s="18"/>
      <c r="Q6" s="16" t="s">
        <v>170</v>
      </c>
      <c r="R6" s="16" t="s">
        <v>221</v>
      </c>
    </row>
    <row r="7">
      <c r="A7" s="16" t="s">
        <v>222</v>
      </c>
      <c r="B7" s="16" t="s">
        <v>223</v>
      </c>
      <c r="C7" s="16" t="s">
        <v>224</v>
      </c>
      <c r="D7" s="16" t="s">
        <v>150</v>
      </c>
      <c r="E7" s="16" t="s">
        <v>225</v>
      </c>
      <c r="F7" s="16" t="s">
        <v>226</v>
      </c>
      <c r="G7" s="16" t="s">
        <v>227</v>
      </c>
      <c r="H7" s="16" t="s">
        <v>228</v>
      </c>
      <c r="I7" s="16" t="s">
        <v>196</v>
      </c>
      <c r="J7" s="16" t="s">
        <v>29</v>
      </c>
      <c r="K7" s="16" t="s">
        <v>162</v>
      </c>
      <c r="L7" s="16" t="s">
        <v>163</v>
      </c>
      <c r="M7" s="19">
        <v>46320.0</v>
      </c>
      <c r="N7" s="18"/>
      <c r="O7" s="18"/>
      <c r="P7" s="18"/>
      <c r="Q7" s="16" t="s">
        <v>170</v>
      </c>
      <c r="R7" s="16" t="s">
        <v>229</v>
      </c>
    </row>
    <row r="8">
      <c r="A8" s="16" t="s">
        <v>230</v>
      </c>
      <c r="B8" s="16" t="s">
        <v>231</v>
      </c>
      <c r="C8" s="16" t="s">
        <v>232</v>
      </c>
      <c r="D8" s="16" t="s">
        <v>150</v>
      </c>
      <c r="E8" s="16" t="s">
        <v>233</v>
      </c>
      <c r="F8" s="16" t="s">
        <v>234</v>
      </c>
      <c r="G8" s="16" t="s">
        <v>235</v>
      </c>
      <c r="H8" s="16" t="s">
        <v>236</v>
      </c>
      <c r="I8" s="16" t="s">
        <v>196</v>
      </c>
      <c r="J8" s="16" t="s">
        <v>29</v>
      </c>
      <c r="K8" s="16" t="s">
        <v>162</v>
      </c>
      <c r="L8" s="16" t="s">
        <v>163</v>
      </c>
      <c r="M8" s="19">
        <v>46320.0</v>
      </c>
      <c r="N8" s="18"/>
      <c r="O8" s="18"/>
      <c r="P8" s="18"/>
      <c r="Q8" s="16" t="s">
        <v>170</v>
      </c>
      <c r="R8" s="16" t="s">
        <v>237</v>
      </c>
    </row>
    <row r="9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</row>
    <row r="10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</row>
    <row r="11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</row>
    <row r="12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</row>
    <row r="13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</row>
    <row r="14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</row>
    <row r="15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</row>
    <row r="16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</row>
    <row r="17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</row>
    <row r="18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</row>
    <row r="19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</row>
    <row r="20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</row>
    <row r="21" ht="15.75" customHeight="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</row>
    <row r="22" ht="15.75" customHeight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</row>
    <row r="23" ht="15.75" customHeight="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</row>
    <row r="24" ht="15.75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</row>
    <row r="25" ht="15.75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</row>
    <row r="26" ht="15.75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</row>
    <row r="27" ht="15.75" customHeight="1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</row>
    <row r="28" ht="15.75" customHeight="1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</row>
    <row r="29" ht="15.75" customHeight="1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</row>
    <row r="30" ht="15.75" customHeight="1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</row>
    <row r="31" ht="15.75" customHeight="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</row>
    <row r="32" ht="15.75" customHeight="1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</row>
    <row r="33" ht="15.75" customHeight="1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</row>
    <row r="34" ht="15.75" customHeight="1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</row>
    <row r="35" ht="15.75" customHeight="1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</row>
    <row r="36" ht="15.75" customHeight="1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</row>
    <row r="37" ht="15.75" customHeight="1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</row>
    <row r="38" ht="15.75" customHeight="1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</row>
    <row r="39" ht="15.75" customHeight="1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</row>
    <row r="40" ht="15.75" customHeight="1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</row>
    <row r="41" ht="15.75" customHeight="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</row>
    <row r="42" ht="15.75" customHeight="1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</row>
    <row r="43" ht="15.75" customHeight="1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</row>
    <row r="44" ht="15.75" customHeight="1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</row>
    <row r="45" ht="15.75" customHeight="1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</row>
    <row r="46" ht="15.75" customHeight="1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</row>
    <row r="47" ht="15.75" customHeight="1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</row>
    <row r="48" ht="15.75" customHeight="1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</row>
    <row r="49" ht="15.75" customHeight="1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</row>
    <row r="50" ht="15.75" customHeight="1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</row>
    <row r="51" ht="15.75" customHeight="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</row>
    <row r="52" ht="15.75" customHeight="1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</row>
    <row r="53" ht="15.75" customHeight="1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</row>
    <row r="54" ht="15.75" customHeight="1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</row>
    <row r="55" ht="15.75" customHeight="1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</row>
    <row r="56" ht="15.75" customHeight="1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</row>
    <row r="57" ht="15.75" customHeight="1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</row>
    <row r="58" ht="15.75" customHeight="1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</row>
    <row r="59" ht="15.75" customHeight="1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</row>
    <row r="60" ht="15.75" customHeight="1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</row>
    <row r="61" ht="15.75" customHeight="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</row>
    <row r="62" ht="15.75" customHeight="1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</row>
    <row r="63" ht="15.75" customHeight="1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</row>
    <row r="64" ht="15.75" customHeight="1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</row>
    <row r="65" ht="15.75" customHeight="1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</row>
    <row r="66" ht="15.75" customHeight="1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</row>
    <row r="67" ht="15.75" customHeight="1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</row>
    <row r="68" ht="15.75" customHeight="1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</row>
    <row r="69" ht="15.75" customHeight="1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</row>
    <row r="70" ht="15.75" customHeight="1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</row>
    <row r="71" ht="15.75" customHeight="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</row>
    <row r="72" ht="15.75" customHeight="1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</row>
    <row r="73" ht="15.75" customHeight="1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</row>
    <row r="74" ht="15.75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</row>
    <row r="75" ht="15.75" customHeight="1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</row>
    <row r="76" ht="15.75" customHeight="1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</row>
    <row r="77" ht="15.75" customHeight="1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</row>
    <row r="78" ht="15.75" customHeight="1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</row>
    <row r="79" ht="15.75" customHeight="1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</row>
    <row r="80" ht="15.75" customHeight="1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</row>
    <row r="81" ht="15.75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</row>
    <row r="82" ht="15.75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</row>
    <row r="83" ht="15.75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</row>
    <row r="84" ht="15.75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</row>
    <row r="85" ht="15.75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</row>
    <row r="86" ht="15.75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</row>
    <row r="87" ht="15.75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</row>
    <row r="88" ht="15.75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</row>
    <row r="89" ht="15.75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</row>
    <row r="90" ht="15.75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</row>
    <row r="91" ht="15.75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</row>
    <row r="92" ht="15.75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</row>
    <row r="93" ht="15.75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</row>
    <row r="94" ht="15.75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</row>
    <row r="95" ht="15.75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</row>
    <row r="96" ht="15.75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</row>
    <row r="97" ht="15.75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</row>
    <row r="98" ht="15.75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</row>
    <row r="99" ht="15.75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</row>
    <row r="100" ht="15.75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</row>
    <row r="101" ht="15.75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</row>
    <row r="102" ht="15.75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</row>
    <row r="103" ht="15.75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</row>
    <row r="104" ht="15.75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</row>
    <row r="105" ht="15.75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</row>
    <row r="106" ht="15.75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</row>
    <row r="107" ht="15.75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</row>
    <row r="108" ht="15.75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</row>
    <row r="109" ht="15.75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</row>
    <row r="110" ht="15.75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</row>
    <row r="111" ht="15.75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</row>
    <row r="112" ht="15.75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</row>
    <row r="113" ht="15.75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</row>
    <row r="114" ht="15.75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</row>
    <row r="115" ht="15.75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</row>
    <row r="116" ht="15.75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</row>
    <row r="117" ht="15.75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</row>
    <row r="118" ht="15.75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</row>
    <row r="119" ht="15.75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</row>
    <row r="120" ht="15.75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</row>
    <row r="121" ht="15.75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</row>
    <row r="122" ht="15.75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</row>
    <row r="123" ht="15.75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</row>
    <row r="124" ht="15.75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</row>
    <row r="125" ht="15.75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</row>
    <row r="126" ht="15.75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</row>
    <row r="127" ht="15.75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</row>
    <row r="128" ht="15.75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</row>
    <row r="129" ht="15.75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</row>
    <row r="130" ht="15.75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</row>
    <row r="131" ht="15.75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</row>
    <row r="132" ht="15.75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</row>
    <row r="133" ht="15.75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</row>
    <row r="134" ht="15.75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</row>
    <row r="135" ht="15.75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</row>
    <row r="136" ht="15.75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</row>
    <row r="137" ht="15.75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</row>
    <row r="138" ht="15.75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</row>
    <row r="139" ht="15.75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</row>
    <row r="140" ht="15.75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</row>
    <row r="141" ht="15.75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</row>
    <row r="142" ht="15.75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</row>
    <row r="143" ht="15.75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</row>
    <row r="144" ht="15.75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</row>
    <row r="145" ht="15.75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</row>
    <row r="146" ht="15.75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</row>
    <row r="147" ht="15.75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</row>
    <row r="148" ht="15.75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</row>
    <row r="149" ht="15.75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</row>
    <row r="150" ht="15.75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</row>
    <row r="151" ht="15.75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</row>
    <row r="152" ht="15.75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</row>
    <row r="153" ht="15.75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</row>
    <row r="154" ht="15.75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</row>
    <row r="155" ht="15.75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</row>
    <row r="156" ht="15.75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</row>
    <row r="157" ht="15.75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</row>
    <row r="158" ht="15.75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</row>
    <row r="159" ht="15.75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</row>
    <row r="160" ht="15.75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</row>
    <row r="161" ht="15.75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</row>
    <row r="162" ht="15.75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</row>
    <row r="163" ht="15.75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</row>
    <row r="164" ht="15.75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</row>
    <row r="165" ht="15.75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</row>
    <row r="166" ht="15.75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</row>
    <row r="167" ht="15.75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</row>
    <row r="168" ht="15.75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</row>
    <row r="169" ht="15.75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</row>
    <row r="170" ht="15.75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</row>
    <row r="171" ht="15.75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</row>
    <row r="172" ht="15.75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</row>
    <row r="173" ht="15.75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</row>
    <row r="174" ht="15.75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</row>
    <row r="175" ht="15.75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</row>
    <row r="176" ht="15.75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</row>
    <row r="177" ht="15.75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</row>
    <row r="178" ht="15.75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</row>
    <row r="179" ht="15.75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</row>
    <row r="180" ht="15.75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</row>
    <row r="181" ht="15.75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</row>
    <row r="182" ht="15.75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</row>
    <row r="183" ht="15.75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</row>
    <row r="184" ht="15.75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</row>
    <row r="185" ht="15.75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</row>
    <row r="186" ht="15.75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</row>
    <row r="187" ht="15.75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</row>
    <row r="188" ht="15.75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</row>
    <row r="189" ht="15.75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</row>
    <row r="190" ht="15.75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</row>
    <row r="191" ht="15.75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</row>
    <row r="192" ht="15.75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</row>
    <row r="193" ht="15.75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</row>
    <row r="194" ht="15.75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</row>
    <row r="195" ht="15.75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</row>
    <row r="196" ht="15.75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</row>
    <row r="197" ht="15.75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</row>
    <row r="198" ht="15.75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</row>
    <row r="199" ht="15.75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</row>
    <row r="200" ht="15.75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</row>
    <row r="201" ht="15.75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</row>
    <row r="202" ht="15.75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</row>
    <row r="203" ht="15.75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</row>
    <row r="204" ht="15.75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</row>
    <row r="205" ht="15.75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</row>
    <row r="206" ht="15.75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</row>
    <row r="207" ht="15.75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</row>
    <row r="208" ht="15.75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</row>
    <row r="209" ht="15.75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</row>
    <row r="210" ht="15.75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</row>
    <row r="211" ht="15.75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</row>
    <row r="212" ht="15.75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</row>
    <row r="213" ht="15.75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</row>
    <row r="214" ht="15.75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</row>
    <row r="215" ht="15.75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</row>
    <row r="216" ht="15.75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</row>
    <row r="217" ht="15.75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</row>
    <row r="218" ht="15.75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</row>
    <row r="219" ht="15.75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</row>
    <row r="220" ht="15.75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</row>
    <row r="221" ht="15.75" customHeight="1">
      <c r="I221" s="20"/>
      <c r="J221" s="20"/>
      <c r="K221" s="20"/>
      <c r="Q221" s="20"/>
    </row>
    <row r="222" ht="15.75" customHeight="1">
      <c r="I222" s="20"/>
      <c r="J222" s="20"/>
      <c r="K222" s="20"/>
      <c r="Q222" s="20"/>
    </row>
    <row r="223" ht="15.75" customHeight="1">
      <c r="I223" s="20"/>
      <c r="J223" s="20"/>
      <c r="K223" s="20"/>
      <c r="Q223" s="20"/>
    </row>
    <row r="224" ht="15.75" customHeight="1">
      <c r="I224" s="20"/>
      <c r="J224" s="20"/>
      <c r="K224" s="20"/>
      <c r="Q224" s="20"/>
    </row>
    <row r="225" ht="15.75" customHeight="1">
      <c r="I225" s="20"/>
      <c r="J225" s="20"/>
      <c r="K225" s="20"/>
      <c r="Q225" s="20"/>
    </row>
    <row r="226" ht="15.75" customHeight="1">
      <c r="I226" s="20"/>
      <c r="J226" s="20"/>
      <c r="K226" s="20"/>
      <c r="Q226" s="20"/>
    </row>
    <row r="227" ht="15.75" customHeight="1">
      <c r="I227" s="20"/>
      <c r="J227" s="20"/>
      <c r="K227" s="20"/>
      <c r="Q227" s="20"/>
    </row>
    <row r="228" ht="15.75" customHeight="1">
      <c r="I228" s="20"/>
      <c r="J228" s="20"/>
      <c r="K228" s="20"/>
      <c r="Q228" s="20"/>
    </row>
    <row r="229" ht="15.75" customHeight="1">
      <c r="I229" s="20"/>
      <c r="J229" s="20"/>
      <c r="K229" s="20"/>
      <c r="Q229" s="20"/>
    </row>
    <row r="230" ht="15.75" customHeight="1">
      <c r="I230" s="20"/>
      <c r="J230" s="20"/>
      <c r="K230" s="20"/>
      <c r="Q230" s="20"/>
    </row>
    <row r="231" ht="15.75" customHeight="1">
      <c r="I231" s="20"/>
      <c r="J231" s="20"/>
      <c r="K231" s="20"/>
      <c r="Q231" s="20"/>
    </row>
    <row r="232" ht="15.75" customHeight="1">
      <c r="I232" s="20"/>
      <c r="J232" s="20"/>
      <c r="K232" s="20"/>
      <c r="Q232" s="20"/>
    </row>
    <row r="233" ht="15.75" customHeight="1">
      <c r="I233" s="20"/>
      <c r="J233" s="20"/>
      <c r="K233" s="20"/>
      <c r="Q233" s="20"/>
    </row>
    <row r="234" ht="15.75" customHeight="1">
      <c r="I234" s="20"/>
      <c r="J234" s="20"/>
      <c r="K234" s="20"/>
      <c r="Q234" s="20"/>
    </row>
    <row r="235" ht="15.75" customHeight="1">
      <c r="I235" s="20"/>
      <c r="J235" s="20"/>
      <c r="K235" s="20"/>
      <c r="Q235" s="20"/>
    </row>
    <row r="236" ht="15.75" customHeight="1">
      <c r="I236" s="20"/>
      <c r="J236" s="20"/>
      <c r="K236" s="20"/>
      <c r="Q236" s="20"/>
    </row>
    <row r="237" ht="15.75" customHeight="1">
      <c r="I237" s="20"/>
      <c r="J237" s="20"/>
      <c r="K237" s="20"/>
      <c r="Q237" s="20"/>
    </row>
    <row r="238" ht="15.75" customHeight="1">
      <c r="I238" s="20"/>
      <c r="J238" s="20"/>
      <c r="K238" s="20"/>
      <c r="Q238" s="20"/>
    </row>
    <row r="239" ht="15.75" customHeight="1">
      <c r="I239" s="20"/>
      <c r="J239" s="20"/>
      <c r="K239" s="20"/>
      <c r="Q239" s="20"/>
    </row>
    <row r="240" ht="15.75" customHeight="1">
      <c r="I240" s="20"/>
      <c r="J240" s="20"/>
      <c r="K240" s="20"/>
      <c r="Q240" s="20"/>
    </row>
    <row r="241" ht="15.75" customHeight="1">
      <c r="I241" s="20"/>
      <c r="J241" s="20"/>
      <c r="K241" s="20"/>
      <c r="Q241" s="20"/>
    </row>
    <row r="242" ht="15.75" customHeight="1">
      <c r="I242" s="20"/>
      <c r="J242" s="20"/>
      <c r="K242" s="20"/>
      <c r="Q242" s="20"/>
    </row>
    <row r="243" ht="15.75" customHeight="1">
      <c r="I243" s="20"/>
      <c r="J243" s="20"/>
      <c r="K243" s="20"/>
      <c r="Q243" s="20"/>
    </row>
    <row r="244" ht="15.75" customHeight="1">
      <c r="I244" s="20"/>
      <c r="J244" s="20"/>
      <c r="K244" s="20"/>
      <c r="Q244" s="20"/>
    </row>
    <row r="245" ht="15.75" customHeight="1">
      <c r="I245" s="20"/>
      <c r="J245" s="20"/>
      <c r="K245" s="20"/>
      <c r="Q245" s="20"/>
    </row>
    <row r="246" ht="15.75" customHeight="1">
      <c r="I246" s="20"/>
      <c r="J246" s="20"/>
      <c r="K246" s="20"/>
      <c r="Q246" s="20"/>
    </row>
    <row r="247" ht="15.75" customHeight="1">
      <c r="I247" s="20"/>
      <c r="J247" s="20"/>
      <c r="K247" s="20"/>
      <c r="Q247" s="20"/>
    </row>
    <row r="248" ht="15.75" customHeight="1">
      <c r="I248" s="20"/>
      <c r="J248" s="20"/>
      <c r="K248" s="20"/>
      <c r="Q248" s="20"/>
    </row>
    <row r="249" ht="15.75" customHeight="1">
      <c r="I249" s="20"/>
      <c r="J249" s="20"/>
      <c r="K249" s="20"/>
      <c r="Q249" s="20"/>
    </row>
    <row r="250" ht="15.75" customHeight="1">
      <c r="I250" s="20"/>
      <c r="J250" s="20"/>
      <c r="K250" s="20"/>
      <c r="Q250" s="20"/>
    </row>
    <row r="251" ht="15.75" customHeight="1">
      <c r="I251" s="20"/>
      <c r="J251" s="20"/>
      <c r="K251" s="20"/>
      <c r="Q251" s="20"/>
    </row>
    <row r="252" ht="15.75" customHeight="1">
      <c r="I252" s="20"/>
      <c r="J252" s="20"/>
      <c r="K252" s="20"/>
      <c r="Q252" s="20"/>
    </row>
    <row r="253" ht="15.75" customHeight="1">
      <c r="I253" s="20"/>
      <c r="J253" s="20"/>
      <c r="K253" s="20"/>
      <c r="Q253" s="20"/>
    </row>
    <row r="254" ht="15.75" customHeight="1">
      <c r="I254" s="20"/>
      <c r="J254" s="20"/>
      <c r="K254" s="20"/>
      <c r="Q254" s="20"/>
    </row>
    <row r="255" ht="15.75" customHeight="1">
      <c r="I255" s="20"/>
      <c r="J255" s="20"/>
      <c r="K255" s="20"/>
      <c r="Q255" s="20"/>
    </row>
    <row r="256" ht="15.75" customHeight="1">
      <c r="I256" s="20"/>
      <c r="J256" s="20"/>
      <c r="K256" s="20"/>
      <c r="Q256" s="20"/>
    </row>
    <row r="257" ht="15.75" customHeight="1">
      <c r="I257" s="20"/>
      <c r="J257" s="20"/>
      <c r="K257" s="20"/>
      <c r="Q257" s="20"/>
    </row>
    <row r="258" ht="15.75" customHeight="1">
      <c r="I258" s="20"/>
      <c r="J258" s="20"/>
      <c r="K258" s="20"/>
      <c r="Q258" s="20"/>
    </row>
    <row r="259" ht="15.75" customHeight="1">
      <c r="I259" s="20"/>
      <c r="J259" s="20"/>
      <c r="K259" s="20"/>
      <c r="Q259" s="20"/>
    </row>
    <row r="260" ht="15.75" customHeight="1">
      <c r="I260" s="20"/>
      <c r="J260" s="20"/>
      <c r="K260" s="20"/>
      <c r="Q260" s="20"/>
    </row>
    <row r="261" ht="15.75" customHeight="1">
      <c r="I261" s="20"/>
      <c r="J261" s="20"/>
      <c r="K261" s="20"/>
      <c r="Q261" s="20"/>
    </row>
    <row r="262" ht="15.75" customHeight="1">
      <c r="I262" s="20"/>
      <c r="J262" s="20"/>
      <c r="K262" s="20"/>
      <c r="Q262" s="20"/>
    </row>
    <row r="263" ht="15.75" customHeight="1">
      <c r="I263" s="20"/>
      <c r="J263" s="20"/>
      <c r="K263" s="20"/>
      <c r="Q263" s="20"/>
    </row>
    <row r="264" ht="15.75" customHeight="1">
      <c r="I264" s="20"/>
      <c r="J264" s="20"/>
      <c r="K264" s="20"/>
      <c r="Q264" s="20"/>
    </row>
    <row r="265" ht="15.75" customHeight="1">
      <c r="I265" s="20"/>
      <c r="J265" s="20"/>
      <c r="K265" s="20"/>
      <c r="Q265" s="20"/>
    </row>
    <row r="266" ht="15.75" customHeight="1">
      <c r="I266" s="20"/>
      <c r="J266" s="20"/>
      <c r="K266" s="20"/>
      <c r="Q266" s="20"/>
    </row>
    <row r="267" ht="15.75" customHeight="1">
      <c r="I267" s="20"/>
      <c r="J267" s="20"/>
      <c r="K267" s="20"/>
      <c r="Q267" s="20"/>
    </row>
    <row r="268" ht="15.75" customHeight="1">
      <c r="I268" s="20"/>
      <c r="J268" s="20"/>
      <c r="K268" s="20"/>
      <c r="Q268" s="20"/>
    </row>
    <row r="269" ht="15.75" customHeight="1">
      <c r="I269" s="20"/>
      <c r="J269" s="20"/>
      <c r="K269" s="20"/>
      <c r="Q269" s="20"/>
    </row>
    <row r="270" ht="15.75" customHeight="1">
      <c r="I270" s="20"/>
      <c r="J270" s="20"/>
      <c r="K270" s="20"/>
      <c r="Q270" s="20"/>
    </row>
    <row r="271" ht="15.75" customHeight="1">
      <c r="I271" s="20"/>
      <c r="J271" s="20"/>
      <c r="K271" s="20"/>
      <c r="Q271" s="20"/>
    </row>
    <row r="272" ht="15.75" customHeight="1">
      <c r="I272" s="20"/>
      <c r="J272" s="20"/>
      <c r="K272" s="20"/>
      <c r="Q272" s="20"/>
    </row>
    <row r="273" ht="15.75" customHeight="1">
      <c r="I273" s="20"/>
      <c r="J273" s="20"/>
      <c r="K273" s="20"/>
      <c r="Q273" s="20"/>
    </row>
    <row r="274" ht="15.75" customHeight="1">
      <c r="I274" s="20"/>
      <c r="J274" s="20"/>
      <c r="K274" s="20"/>
      <c r="Q274" s="20"/>
    </row>
    <row r="275" ht="15.75" customHeight="1">
      <c r="I275" s="20"/>
      <c r="J275" s="20"/>
      <c r="K275" s="20"/>
      <c r="Q275" s="20"/>
    </row>
    <row r="276" ht="15.75" customHeight="1">
      <c r="I276" s="20"/>
      <c r="J276" s="20"/>
      <c r="K276" s="20"/>
      <c r="Q276" s="20"/>
    </row>
    <row r="277" ht="15.75" customHeight="1">
      <c r="I277" s="20"/>
      <c r="J277" s="20"/>
      <c r="K277" s="20"/>
      <c r="Q277" s="20"/>
    </row>
    <row r="278" ht="15.75" customHeight="1">
      <c r="I278" s="20"/>
      <c r="J278" s="20"/>
      <c r="K278" s="20"/>
      <c r="Q278" s="20"/>
    </row>
    <row r="279" ht="15.75" customHeight="1">
      <c r="I279" s="20"/>
      <c r="J279" s="20"/>
      <c r="K279" s="20"/>
      <c r="Q279" s="20"/>
    </row>
    <row r="280" ht="15.75" customHeight="1">
      <c r="I280" s="20"/>
      <c r="J280" s="20"/>
      <c r="K280" s="20"/>
      <c r="Q280" s="20"/>
    </row>
    <row r="281" ht="15.75" customHeight="1">
      <c r="I281" s="20"/>
      <c r="J281" s="20"/>
      <c r="K281" s="20"/>
      <c r="Q281" s="20"/>
    </row>
    <row r="282" ht="15.75" customHeight="1">
      <c r="I282" s="20"/>
      <c r="J282" s="20"/>
      <c r="K282" s="20"/>
      <c r="Q282" s="20"/>
    </row>
    <row r="283" ht="15.75" customHeight="1">
      <c r="I283" s="20"/>
      <c r="J283" s="20"/>
      <c r="K283" s="20"/>
      <c r="Q283" s="20"/>
    </row>
    <row r="284" ht="15.75" customHeight="1">
      <c r="I284" s="20"/>
      <c r="J284" s="20"/>
      <c r="K284" s="20"/>
      <c r="Q284" s="20"/>
    </row>
    <row r="285" ht="15.75" customHeight="1">
      <c r="I285" s="20"/>
      <c r="J285" s="20"/>
      <c r="K285" s="20"/>
      <c r="Q285" s="20"/>
    </row>
    <row r="286" ht="15.75" customHeight="1">
      <c r="I286" s="20"/>
      <c r="J286" s="20"/>
      <c r="K286" s="20"/>
      <c r="Q286" s="20"/>
    </row>
    <row r="287" ht="15.75" customHeight="1">
      <c r="I287" s="20"/>
      <c r="J287" s="20"/>
      <c r="K287" s="20"/>
      <c r="Q287" s="20"/>
    </row>
    <row r="288" ht="15.75" customHeight="1">
      <c r="I288" s="20"/>
      <c r="J288" s="20"/>
      <c r="K288" s="20"/>
      <c r="Q288" s="20"/>
    </row>
    <row r="289" ht="15.75" customHeight="1">
      <c r="I289" s="20"/>
      <c r="J289" s="20"/>
      <c r="K289" s="20"/>
      <c r="Q289" s="20"/>
    </row>
    <row r="290" ht="15.75" customHeight="1">
      <c r="I290" s="20"/>
      <c r="J290" s="20"/>
      <c r="K290" s="20"/>
      <c r="Q290" s="20"/>
    </row>
    <row r="291" ht="15.75" customHeight="1">
      <c r="I291" s="20"/>
      <c r="J291" s="20"/>
      <c r="K291" s="20"/>
      <c r="Q291" s="20"/>
    </row>
    <row r="292" ht="15.75" customHeight="1">
      <c r="I292" s="20"/>
      <c r="J292" s="20"/>
      <c r="K292" s="20"/>
      <c r="Q292" s="20"/>
    </row>
    <row r="293" ht="15.75" customHeight="1">
      <c r="I293" s="20"/>
      <c r="J293" s="20"/>
      <c r="K293" s="20"/>
      <c r="Q293" s="20"/>
    </row>
    <row r="294" ht="15.75" customHeight="1">
      <c r="I294" s="20"/>
      <c r="J294" s="20"/>
      <c r="K294" s="20"/>
      <c r="Q294" s="20"/>
    </row>
    <row r="295" ht="15.75" customHeight="1">
      <c r="I295" s="20"/>
      <c r="J295" s="20"/>
      <c r="K295" s="20"/>
      <c r="Q295" s="20"/>
    </row>
    <row r="296" ht="15.75" customHeight="1">
      <c r="I296" s="20"/>
      <c r="J296" s="20"/>
      <c r="K296" s="20"/>
      <c r="Q296" s="20"/>
    </row>
    <row r="297" ht="15.75" customHeight="1">
      <c r="I297" s="20"/>
      <c r="J297" s="20"/>
      <c r="K297" s="20"/>
      <c r="Q297" s="20"/>
    </row>
    <row r="298" ht="15.75" customHeight="1">
      <c r="I298" s="20"/>
      <c r="J298" s="20"/>
      <c r="K298" s="20"/>
      <c r="Q298" s="20"/>
    </row>
    <row r="299" ht="15.75" customHeight="1">
      <c r="I299" s="20"/>
      <c r="J299" s="20"/>
      <c r="K299" s="20"/>
      <c r="Q299" s="20"/>
    </row>
    <row r="300" ht="15.75" customHeight="1">
      <c r="I300" s="20"/>
      <c r="J300" s="20"/>
      <c r="K300" s="20"/>
      <c r="Q300" s="20"/>
    </row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R$8"/>
  <dataValidations>
    <dataValidation type="list" allowBlank="1" sqref="K2:K300">
      <formula1>"New,Open,In Progress,Fixed,Retest,Closed,Reopened,Rejected"</formula1>
    </dataValidation>
    <dataValidation type="list" allowBlank="1" sqref="I2:I300">
      <formula1>"Critical,Major,Moderate,Minor"</formula1>
    </dataValidation>
    <dataValidation type="list" allowBlank="1" sqref="J2:J300">
      <formula1>"High,Medium,Low"</formula1>
    </dataValidation>
    <dataValidation type="list" allowBlank="1" sqref="Q2:Q300">
      <formula1>"Pass,Fail,Not Retested"</formula1>
    </dataValidation>
  </dataValidations>
  <printOptions/>
  <pageMargins bottom="1.0" footer="0.0" header="0.0" left="0.75" right="0.75" top="1.0"/>
  <pageSetup fitToHeight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2026-10-25T06:25:22Z</dcterms:created>
  <dc:creator>openpyxl</dc:creator>
</cp:coreProperties>
</file>